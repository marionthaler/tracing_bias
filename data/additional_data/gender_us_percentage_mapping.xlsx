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kumente\BA-thesis\complete_analysis\Code_used\data\additional_ressources\"/>
    </mc:Choice>
  </mc:AlternateContent>
  <xr:revisionPtr revIDLastSave="0" documentId="13_ncr:1_{F0893178-6D24-4BDE-87AE-22372A75C5C8}" xr6:coauthVersionLast="47" xr6:coauthVersionMax="47" xr10:uidLastSave="{00000000-0000-0000-0000-000000000000}"/>
  <bookViews>
    <workbookView xWindow="-110" yWindow="-110" windowWidth="19420" windowHeight="10420" xr2:uid="{9BFE077C-48A2-4AAB-8CFA-3A1ECD04BE30}"/>
  </bookViews>
  <sheets>
    <sheet name="Tabelle3" sheetId="3" r:id="rId1"/>
  </sheets>
  <definedNames>
    <definedName name="_xlnm._FilterDatabase" localSheetId="0" hidden="1">Tabelle3!$A$1:$J$1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3" l="1"/>
  <c r="I10" i="3" s="1"/>
  <c r="F74" i="3"/>
  <c r="I74" i="3" s="1"/>
  <c r="F79" i="3"/>
  <c r="I79" i="3" s="1"/>
  <c r="F80" i="3"/>
  <c r="I80" i="3" s="1"/>
  <c r="F7" i="3"/>
  <c r="I7" i="3" s="1"/>
  <c r="F11" i="3"/>
  <c r="I11" i="3" s="1"/>
  <c r="F12" i="3"/>
  <c r="I12" i="3" s="1"/>
  <c r="F15" i="3"/>
  <c r="I15" i="3" s="1"/>
  <c r="F18" i="3"/>
  <c r="I18" i="3" s="1"/>
  <c r="F31" i="3"/>
  <c r="I31" i="3" s="1"/>
  <c r="F33" i="3"/>
  <c r="I33" i="3" s="1"/>
  <c r="F38" i="3"/>
  <c r="I38" i="3" s="1"/>
  <c r="F43" i="3"/>
  <c r="I43" i="3" s="1"/>
  <c r="F45" i="3"/>
  <c r="I45" i="3" s="1"/>
  <c r="F48" i="3"/>
  <c r="I48" i="3" s="1"/>
  <c r="F49" i="3"/>
  <c r="I49" i="3" s="1"/>
  <c r="F52" i="3"/>
  <c r="I52" i="3" s="1"/>
  <c r="F53" i="3"/>
  <c r="I53" i="3" s="1"/>
  <c r="F54" i="3"/>
  <c r="I54" i="3" s="1"/>
  <c r="F55" i="3"/>
  <c r="I55" i="3" s="1"/>
  <c r="F56" i="3"/>
  <c r="I56" i="3" s="1"/>
  <c r="F57" i="3"/>
  <c r="I57" i="3" s="1"/>
  <c r="F61" i="3"/>
  <c r="I61" i="3" s="1"/>
  <c r="F66" i="3"/>
  <c r="I66" i="3" s="1"/>
  <c r="F69" i="3"/>
  <c r="I69" i="3" s="1"/>
  <c r="F72" i="3"/>
  <c r="I72" i="3" s="1"/>
  <c r="F76" i="3"/>
  <c r="I76" i="3" s="1"/>
  <c r="F77" i="3"/>
  <c r="I77" i="3" s="1"/>
  <c r="F89" i="3"/>
  <c r="I89" i="3" s="1"/>
  <c r="F91" i="3"/>
  <c r="I91" i="3" s="1"/>
  <c r="F95" i="3"/>
  <c r="I95" i="3" s="1"/>
  <c r="F97" i="3"/>
  <c r="I97" i="3" s="1"/>
  <c r="F105" i="3"/>
  <c r="I105" i="3" s="1"/>
  <c r="F111" i="3"/>
  <c r="I111" i="3" s="1"/>
  <c r="F121" i="3"/>
  <c r="I121" i="3" s="1"/>
  <c r="F131" i="3"/>
  <c r="I131" i="3" s="1"/>
  <c r="F135" i="3"/>
  <c r="I135" i="3" s="1"/>
  <c r="F139" i="3"/>
  <c r="I139" i="3" s="1"/>
  <c r="F142" i="3"/>
  <c r="I142" i="3" s="1"/>
  <c r="F146" i="3"/>
  <c r="I146" i="3" s="1"/>
  <c r="F148" i="3"/>
  <c r="I148" i="3" s="1"/>
  <c r="F149" i="3"/>
  <c r="I149" i="3" s="1"/>
  <c r="F152" i="3"/>
  <c r="I152" i="3" s="1"/>
  <c r="F154" i="3"/>
  <c r="I154" i="3" s="1"/>
  <c r="F156" i="3"/>
  <c r="I156" i="3" s="1"/>
  <c r="F159" i="3"/>
  <c r="I159" i="3" s="1"/>
  <c r="F161" i="3"/>
  <c r="I161" i="3" s="1"/>
  <c r="F168" i="3"/>
  <c r="I168" i="3" s="1"/>
  <c r="F175" i="3"/>
  <c r="I175" i="3" s="1"/>
  <c r="F182" i="3"/>
  <c r="I182" i="3" s="1"/>
  <c r="F185" i="3"/>
  <c r="I185" i="3" s="1"/>
  <c r="F186" i="3"/>
  <c r="I186" i="3" s="1"/>
  <c r="F190" i="3"/>
  <c r="I190" i="3" s="1"/>
  <c r="F194" i="3"/>
  <c r="I194" i="3" s="1"/>
  <c r="F195" i="3"/>
  <c r="I195" i="3" s="1"/>
  <c r="F206" i="3"/>
  <c r="I206" i="3" s="1"/>
  <c r="F208" i="3"/>
  <c r="I208" i="3" s="1"/>
  <c r="F213" i="3"/>
  <c r="I213" i="3" s="1"/>
  <c r="F214" i="3"/>
  <c r="I214" i="3" s="1"/>
  <c r="F215" i="3"/>
  <c r="I215" i="3" s="1"/>
  <c r="F219" i="3"/>
  <c r="I219" i="3" s="1"/>
  <c r="F220" i="3"/>
  <c r="I220" i="3" s="1"/>
  <c r="F221" i="3"/>
  <c r="I221" i="3" s="1"/>
  <c r="F50" i="3"/>
  <c r="I50" i="3" s="1"/>
  <c r="F104" i="3"/>
  <c r="I104" i="3" s="1"/>
  <c r="F108" i="3"/>
  <c r="I108" i="3" s="1"/>
  <c r="F2" i="3"/>
  <c r="I2" i="3" s="1"/>
  <c r="F17" i="3"/>
  <c r="I17" i="3" s="1"/>
  <c r="F21" i="3"/>
  <c r="I21" i="3" s="1"/>
  <c r="F30" i="3"/>
  <c r="I30" i="3" s="1"/>
  <c r="F83" i="3"/>
  <c r="I83" i="3" s="1"/>
  <c r="F107" i="3"/>
  <c r="I107" i="3" s="1"/>
  <c r="F123" i="3"/>
  <c r="I123" i="3" s="1"/>
  <c r="F169" i="3"/>
  <c r="I169" i="3" s="1"/>
  <c r="F210" i="3"/>
  <c r="I210" i="3" s="1"/>
  <c r="F4" i="3"/>
  <c r="I4" i="3" s="1"/>
  <c r="F5" i="3"/>
  <c r="I5" i="3" s="1"/>
  <c r="F62" i="3"/>
  <c r="I62" i="3" s="1"/>
  <c r="F63" i="3"/>
  <c r="I63" i="3" s="1"/>
  <c r="F71" i="3"/>
  <c r="I71" i="3" s="1"/>
  <c r="F124" i="3"/>
  <c r="I124" i="3" s="1"/>
  <c r="F163" i="3"/>
  <c r="I163" i="3" s="1"/>
  <c r="F196" i="3"/>
  <c r="I196" i="3" s="1"/>
  <c r="F35" i="3"/>
  <c r="I35" i="3" s="1"/>
  <c r="F42" i="3"/>
  <c r="I42" i="3" s="1"/>
  <c r="F59" i="3"/>
  <c r="I59" i="3" s="1"/>
  <c r="F106" i="3"/>
  <c r="I106" i="3" s="1"/>
  <c r="F155" i="3"/>
  <c r="I155" i="3" s="1"/>
  <c r="F19" i="3"/>
  <c r="I19" i="3" s="1"/>
  <c r="F64" i="3"/>
  <c r="I64" i="3" s="1"/>
  <c r="F78" i="3"/>
  <c r="I78" i="3" s="1"/>
  <c r="F101" i="3"/>
  <c r="I101" i="3" s="1"/>
  <c r="F116" i="3"/>
  <c r="I116" i="3" s="1"/>
  <c r="F160" i="3"/>
  <c r="I160" i="3" s="1"/>
  <c r="F162" i="3"/>
  <c r="I162" i="3" s="1"/>
  <c r="F183" i="3"/>
  <c r="I183" i="3" s="1"/>
  <c r="F202" i="3"/>
  <c r="I202" i="3" s="1"/>
  <c r="F209" i="3"/>
  <c r="I209" i="3" s="1"/>
  <c r="F87" i="3"/>
  <c r="I87" i="3" s="1"/>
  <c r="F92" i="3"/>
  <c r="I92" i="3" s="1"/>
  <c r="F171" i="3"/>
  <c r="I171" i="3" s="1"/>
  <c r="F23" i="3"/>
  <c r="I23" i="3" s="1"/>
  <c r="F25" i="3"/>
  <c r="I25" i="3" s="1"/>
  <c r="F32" i="3"/>
  <c r="I32" i="3" s="1"/>
  <c r="F46" i="3"/>
  <c r="I46" i="3" s="1"/>
  <c r="F90" i="3"/>
  <c r="I90" i="3" s="1"/>
  <c r="F216" i="3"/>
  <c r="I216" i="3" s="1"/>
  <c r="F40" i="3"/>
  <c r="I40" i="3" s="1"/>
  <c r="F67" i="3"/>
  <c r="I67" i="3" s="1"/>
  <c r="F68" i="3"/>
  <c r="I68" i="3" s="1"/>
  <c r="F73" i="3"/>
  <c r="I73" i="3" s="1"/>
  <c r="F127" i="3"/>
  <c r="I127" i="3" s="1"/>
  <c r="F133" i="3"/>
  <c r="I133" i="3" s="1"/>
  <c r="F134" i="3"/>
  <c r="I134" i="3" s="1"/>
  <c r="F136" i="3"/>
  <c r="I136" i="3" s="1"/>
  <c r="F137" i="3"/>
  <c r="I137" i="3" s="1"/>
  <c r="F140" i="3"/>
  <c r="I140" i="3" s="1"/>
  <c r="F141" i="3"/>
  <c r="I141" i="3" s="1"/>
  <c r="F144" i="3"/>
  <c r="I144" i="3" s="1"/>
  <c r="F145" i="3"/>
  <c r="I145" i="3" s="1"/>
  <c r="F147" i="3"/>
  <c r="I147" i="3" s="1"/>
  <c r="F150" i="3"/>
  <c r="I150" i="3" s="1"/>
  <c r="F166" i="3"/>
  <c r="I166" i="3" s="1"/>
  <c r="F170" i="3"/>
  <c r="I170" i="3" s="1"/>
  <c r="F200" i="3"/>
  <c r="I200" i="3" s="1"/>
  <c r="F204" i="3"/>
  <c r="I204" i="3" s="1"/>
  <c r="F212" i="3"/>
  <c r="I212" i="3" s="1"/>
  <c r="F41" i="3"/>
  <c r="I41" i="3" s="1"/>
  <c r="F199" i="3"/>
  <c r="I199" i="3" s="1"/>
  <c r="F99" i="3"/>
  <c r="I99" i="3" s="1"/>
  <c r="F100" i="3"/>
  <c r="I100" i="3" s="1"/>
  <c r="F125" i="3"/>
  <c r="I125" i="3" s="1"/>
  <c r="F126" i="3"/>
  <c r="I126" i="3" s="1"/>
  <c r="F177" i="3"/>
  <c r="I177" i="3" s="1"/>
  <c r="F179" i="3"/>
  <c r="I179" i="3" s="1"/>
  <c r="F6" i="3"/>
  <c r="I6" i="3" s="1"/>
  <c r="F16" i="3"/>
  <c r="I16" i="3" s="1"/>
  <c r="F24" i="3"/>
  <c r="I24" i="3" s="1"/>
  <c r="F112" i="3"/>
  <c r="I112" i="3" s="1"/>
  <c r="F113" i="3"/>
  <c r="I113" i="3" s="1"/>
  <c r="F115" i="3"/>
  <c r="I115" i="3" s="1"/>
  <c r="F143" i="3"/>
  <c r="I143" i="3" s="1"/>
  <c r="F165" i="3"/>
  <c r="I165" i="3" s="1"/>
  <c r="F193" i="3"/>
  <c r="I193" i="3" s="1"/>
  <c r="F8" i="3"/>
  <c r="I8" i="3" s="1"/>
  <c r="F9" i="3"/>
  <c r="I9" i="3" s="1"/>
  <c r="F13" i="3"/>
  <c r="I13" i="3" s="1"/>
  <c r="F14" i="3"/>
  <c r="I14" i="3" s="1"/>
  <c r="F27" i="3"/>
  <c r="I27" i="3" s="1"/>
  <c r="F47" i="3"/>
  <c r="I47" i="3" s="1"/>
  <c r="F81" i="3"/>
  <c r="I81" i="3" s="1"/>
  <c r="F82" i="3"/>
  <c r="I82" i="3" s="1"/>
  <c r="F93" i="3"/>
  <c r="I93" i="3" s="1"/>
  <c r="F94" i="3"/>
  <c r="I94" i="3" s="1"/>
  <c r="F102" i="3"/>
  <c r="I102" i="3" s="1"/>
  <c r="F128" i="3"/>
  <c r="I128" i="3" s="1"/>
  <c r="F151" i="3"/>
  <c r="I151" i="3" s="1"/>
  <c r="F167" i="3"/>
  <c r="I167" i="3" s="1"/>
  <c r="F176" i="3"/>
  <c r="I176" i="3" s="1"/>
  <c r="F184" i="3"/>
  <c r="I184" i="3" s="1"/>
  <c r="F192" i="3"/>
  <c r="I192" i="3" s="1"/>
  <c r="F222" i="3"/>
  <c r="I222" i="3" s="1"/>
  <c r="F3" i="3"/>
  <c r="I3" i="3" s="1"/>
  <c r="F84" i="3"/>
  <c r="I84" i="3" s="1"/>
  <c r="F85" i="3"/>
  <c r="I85" i="3" s="1"/>
  <c r="F114" i="3"/>
  <c r="I114" i="3" s="1"/>
  <c r="F122" i="3"/>
  <c r="I122" i="3" s="1"/>
  <c r="F158" i="3"/>
  <c r="I158" i="3" s="1"/>
  <c r="F34" i="3"/>
  <c r="I34" i="3" s="1"/>
  <c r="F51" i="3"/>
  <c r="I51" i="3" s="1"/>
  <c r="F60" i="3"/>
  <c r="I60" i="3" s="1"/>
  <c r="F65" i="3"/>
  <c r="I65" i="3" s="1"/>
  <c r="F117" i="3"/>
  <c r="I117" i="3" s="1"/>
  <c r="F173" i="3"/>
  <c r="I173" i="3" s="1"/>
  <c r="F174" i="3"/>
  <c r="I174" i="3" s="1"/>
  <c r="F187" i="3"/>
  <c r="I187" i="3" s="1"/>
  <c r="F203" i="3"/>
  <c r="I203" i="3" s="1"/>
  <c r="F217" i="3"/>
  <c r="I217" i="3" s="1"/>
  <c r="F22" i="3"/>
  <c r="I22" i="3" s="1"/>
  <c r="F26" i="3"/>
  <c r="I26" i="3" s="1"/>
  <c r="F98" i="3"/>
  <c r="I98" i="3" s="1"/>
  <c r="F132" i="3"/>
  <c r="I132" i="3" s="1"/>
  <c r="F198" i="3"/>
  <c r="I198" i="3" s="1"/>
  <c r="F205" i="3"/>
  <c r="I205" i="3" s="1"/>
  <c r="F20" i="3"/>
  <c r="I20" i="3" s="1"/>
  <c r="F28" i="3"/>
  <c r="I28" i="3" s="1"/>
  <c r="F37" i="3"/>
  <c r="I37" i="3" s="1"/>
  <c r="F88" i="3"/>
  <c r="I88" i="3" s="1"/>
  <c r="F109" i="3"/>
  <c r="I109" i="3" s="1"/>
  <c r="F110" i="3"/>
  <c r="I110" i="3" s="1"/>
  <c r="F119" i="3"/>
  <c r="I119" i="3" s="1"/>
  <c r="F120" i="3"/>
  <c r="I120" i="3" s="1"/>
  <c r="F201" i="3"/>
  <c r="I201" i="3" s="1"/>
  <c r="F218" i="3"/>
  <c r="I218" i="3" s="1"/>
  <c r="F29" i="3"/>
  <c r="I29" i="3" s="1"/>
  <c r="F58" i="3"/>
  <c r="I58" i="3" s="1"/>
  <c r="F70" i="3"/>
  <c r="I70" i="3" s="1"/>
  <c r="F86" i="3"/>
  <c r="I86" i="3" s="1"/>
  <c r="F96" i="3"/>
  <c r="I96" i="3" s="1"/>
  <c r="F118" i="3"/>
  <c r="I118" i="3" s="1"/>
  <c r="F138" i="3"/>
  <c r="I138" i="3" s="1"/>
  <c r="F157" i="3"/>
  <c r="I157" i="3" s="1"/>
  <c r="F188" i="3"/>
  <c r="I188" i="3" s="1"/>
  <c r="F44" i="3"/>
  <c r="I44" i="3" s="1"/>
  <c r="F129" i="3"/>
  <c r="I129" i="3" s="1"/>
  <c r="F164" i="3"/>
  <c r="I164" i="3" s="1"/>
  <c r="F172" i="3"/>
  <c r="I172" i="3" s="1"/>
  <c r="F178" i="3"/>
  <c r="I178" i="3" s="1"/>
  <c r="F181" i="3"/>
  <c r="I181" i="3" s="1"/>
  <c r="F189" i="3"/>
  <c r="I189" i="3" s="1"/>
  <c r="F211" i="3"/>
  <c r="I211" i="3" s="1"/>
  <c r="F36" i="3"/>
  <c r="I36" i="3" s="1"/>
  <c r="F39" i="3"/>
  <c r="I39" i="3" s="1"/>
  <c r="F75" i="3"/>
  <c r="I75" i="3" s="1"/>
  <c r="F130" i="3"/>
  <c r="I130" i="3" s="1"/>
  <c r="F153" i="3"/>
  <c r="I153" i="3" s="1"/>
  <c r="F180" i="3"/>
  <c r="I180" i="3" s="1"/>
  <c r="F191" i="3"/>
  <c r="I191" i="3" s="1"/>
  <c r="F197" i="3"/>
  <c r="I197" i="3" s="1"/>
  <c r="F207" i="3"/>
  <c r="I207" i="3" s="1"/>
  <c r="F103" i="3"/>
  <c r="I103" i="3" s="1"/>
  <c r="E10" i="3"/>
  <c r="G10" i="3" s="1"/>
  <c r="J10" i="3" s="1"/>
  <c r="E74" i="3"/>
  <c r="G74" i="3" s="1"/>
  <c r="J74" i="3" s="1"/>
  <c r="E79" i="3"/>
  <c r="G79" i="3" s="1"/>
  <c r="J79" i="3" s="1"/>
  <c r="E80" i="3"/>
  <c r="G80" i="3" s="1"/>
  <c r="J80" i="3" s="1"/>
  <c r="E7" i="3"/>
  <c r="G7" i="3" s="1"/>
  <c r="J7" i="3" s="1"/>
  <c r="E11" i="3"/>
  <c r="G11" i="3" s="1"/>
  <c r="J11" i="3" s="1"/>
  <c r="E12" i="3"/>
  <c r="G12" i="3" s="1"/>
  <c r="J12" i="3" s="1"/>
  <c r="E15" i="3"/>
  <c r="G15" i="3" s="1"/>
  <c r="J15" i="3" s="1"/>
  <c r="E18" i="3"/>
  <c r="G18" i="3" s="1"/>
  <c r="J18" i="3" s="1"/>
  <c r="E31" i="3"/>
  <c r="G31" i="3" s="1"/>
  <c r="J31" i="3" s="1"/>
  <c r="E33" i="3"/>
  <c r="G33" i="3" s="1"/>
  <c r="J33" i="3" s="1"/>
  <c r="E38" i="3"/>
  <c r="G38" i="3" s="1"/>
  <c r="J38" i="3" s="1"/>
  <c r="E43" i="3"/>
  <c r="G43" i="3" s="1"/>
  <c r="J43" i="3" s="1"/>
  <c r="E45" i="3"/>
  <c r="G45" i="3" s="1"/>
  <c r="J45" i="3" s="1"/>
  <c r="E48" i="3"/>
  <c r="G48" i="3" s="1"/>
  <c r="J48" i="3" s="1"/>
  <c r="E49" i="3"/>
  <c r="G49" i="3" s="1"/>
  <c r="J49" i="3" s="1"/>
  <c r="E52" i="3"/>
  <c r="G52" i="3" s="1"/>
  <c r="J52" i="3" s="1"/>
  <c r="E53" i="3"/>
  <c r="G53" i="3" s="1"/>
  <c r="J53" i="3" s="1"/>
  <c r="E54" i="3"/>
  <c r="G54" i="3" s="1"/>
  <c r="J54" i="3" s="1"/>
  <c r="E55" i="3"/>
  <c r="G55" i="3" s="1"/>
  <c r="J55" i="3" s="1"/>
  <c r="E56" i="3"/>
  <c r="G56" i="3" s="1"/>
  <c r="J56" i="3" s="1"/>
  <c r="E57" i="3"/>
  <c r="G57" i="3" s="1"/>
  <c r="J57" i="3" s="1"/>
  <c r="E61" i="3"/>
  <c r="G61" i="3" s="1"/>
  <c r="J61" i="3" s="1"/>
  <c r="E66" i="3"/>
  <c r="G66" i="3" s="1"/>
  <c r="J66" i="3" s="1"/>
  <c r="E69" i="3"/>
  <c r="G69" i="3" s="1"/>
  <c r="J69" i="3" s="1"/>
  <c r="E72" i="3"/>
  <c r="G72" i="3" s="1"/>
  <c r="J72" i="3" s="1"/>
  <c r="E76" i="3"/>
  <c r="G76" i="3" s="1"/>
  <c r="J76" i="3" s="1"/>
  <c r="E77" i="3"/>
  <c r="G77" i="3" s="1"/>
  <c r="J77" i="3" s="1"/>
  <c r="E89" i="3"/>
  <c r="G89" i="3" s="1"/>
  <c r="J89" i="3" s="1"/>
  <c r="E91" i="3"/>
  <c r="G91" i="3" s="1"/>
  <c r="J91" i="3" s="1"/>
  <c r="E95" i="3"/>
  <c r="G95" i="3" s="1"/>
  <c r="J95" i="3" s="1"/>
  <c r="E97" i="3"/>
  <c r="G97" i="3" s="1"/>
  <c r="J97" i="3" s="1"/>
  <c r="E105" i="3"/>
  <c r="G105" i="3" s="1"/>
  <c r="J105" i="3" s="1"/>
  <c r="E111" i="3"/>
  <c r="G111" i="3" s="1"/>
  <c r="J111" i="3" s="1"/>
  <c r="E121" i="3"/>
  <c r="G121" i="3" s="1"/>
  <c r="J121" i="3" s="1"/>
  <c r="E131" i="3"/>
  <c r="G131" i="3" s="1"/>
  <c r="J131" i="3" s="1"/>
  <c r="E135" i="3"/>
  <c r="G135" i="3" s="1"/>
  <c r="J135" i="3" s="1"/>
  <c r="E139" i="3"/>
  <c r="G139" i="3" s="1"/>
  <c r="J139" i="3" s="1"/>
  <c r="E142" i="3"/>
  <c r="G142" i="3" s="1"/>
  <c r="J142" i="3" s="1"/>
  <c r="E146" i="3"/>
  <c r="G146" i="3" s="1"/>
  <c r="J146" i="3" s="1"/>
  <c r="E148" i="3"/>
  <c r="G148" i="3" s="1"/>
  <c r="J148" i="3" s="1"/>
  <c r="E149" i="3"/>
  <c r="G149" i="3" s="1"/>
  <c r="J149" i="3" s="1"/>
  <c r="E152" i="3"/>
  <c r="G152" i="3" s="1"/>
  <c r="J152" i="3" s="1"/>
  <c r="E154" i="3"/>
  <c r="G154" i="3" s="1"/>
  <c r="J154" i="3" s="1"/>
  <c r="E156" i="3"/>
  <c r="G156" i="3" s="1"/>
  <c r="J156" i="3" s="1"/>
  <c r="E159" i="3"/>
  <c r="G159" i="3" s="1"/>
  <c r="J159" i="3" s="1"/>
  <c r="E161" i="3"/>
  <c r="G161" i="3" s="1"/>
  <c r="J161" i="3" s="1"/>
  <c r="E168" i="3"/>
  <c r="G168" i="3" s="1"/>
  <c r="J168" i="3" s="1"/>
  <c r="E175" i="3"/>
  <c r="G175" i="3" s="1"/>
  <c r="J175" i="3" s="1"/>
  <c r="E182" i="3"/>
  <c r="G182" i="3" s="1"/>
  <c r="J182" i="3" s="1"/>
  <c r="E185" i="3"/>
  <c r="G185" i="3" s="1"/>
  <c r="J185" i="3" s="1"/>
  <c r="E186" i="3"/>
  <c r="G186" i="3" s="1"/>
  <c r="J186" i="3" s="1"/>
  <c r="E190" i="3"/>
  <c r="G190" i="3" s="1"/>
  <c r="J190" i="3" s="1"/>
  <c r="E194" i="3"/>
  <c r="G194" i="3" s="1"/>
  <c r="J194" i="3" s="1"/>
  <c r="E195" i="3"/>
  <c r="G195" i="3" s="1"/>
  <c r="J195" i="3" s="1"/>
  <c r="E206" i="3"/>
  <c r="G206" i="3" s="1"/>
  <c r="J206" i="3" s="1"/>
  <c r="E208" i="3"/>
  <c r="G208" i="3" s="1"/>
  <c r="J208" i="3" s="1"/>
  <c r="E213" i="3"/>
  <c r="G213" i="3" s="1"/>
  <c r="J213" i="3" s="1"/>
  <c r="E214" i="3"/>
  <c r="G214" i="3" s="1"/>
  <c r="J214" i="3" s="1"/>
  <c r="E215" i="3"/>
  <c r="G215" i="3" s="1"/>
  <c r="J215" i="3" s="1"/>
  <c r="E219" i="3"/>
  <c r="G219" i="3" s="1"/>
  <c r="J219" i="3" s="1"/>
  <c r="E220" i="3"/>
  <c r="G220" i="3" s="1"/>
  <c r="J220" i="3" s="1"/>
  <c r="E221" i="3"/>
  <c r="G221" i="3" s="1"/>
  <c r="J221" i="3" s="1"/>
  <c r="E50" i="3"/>
  <c r="G50" i="3" s="1"/>
  <c r="J50" i="3" s="1"/>
  <c r="E104" i="3"/>
  <c r="G104" i="3" s="1"/>
  <c r="J104" i="3" s="1"/>
  <c r="E108" i="3"/>
  <c r="G108" i="3" s="1"/>
  <c r="J108" i="3" s="1"/>
  <c r="E2" i="3"/>
  <c r="G2" i="3" s="1"/>
  <c r="J2" i="3" s="1"/>
  <c r="E17" i="3"/>
  <c r="G17" i="3" s="1"/>
  <c r="J17" i="3" s="1"/>
  <c r="E21" i="3"/>
  <c r="G21" i="3" s="1"/>
  <c r="J21" i="3" s="1"/>
  <c r="E30" i="3"/>
  <c r="G30" i="3" s="1"/>
  <c r="J30" i="3" s="1"/>
  <c r="E83" i="3"/>
  <c r="G83" i="3" s="1"/>
  <c r="J83" i="3" s="1"/>
  <c r="E107" i="3"/>
  <c r="G107" i="3" s="1"/>
  <c r="J107" i="3" s="1"/>
  <c r="E123" i="3"/>
  <c r="G123" i="3" s="1"/>
  <c r="J123" i="3" s="1"/>
  <c r="E169" i="3"/>
  <c r="G169" i="3" s="1"/>
  <c r="J169" i="3" s="1"/>
  <c r="E210" i="3"/>
  <c r="G210" i="3" s="1"/>
  <c r="J210" i="3" s="1"/>
  <c r="E4" i="3"/>
  <c r="G4" i="3" s="1"/>
  <c r="J4" i="3" s="1"/>
  <c r="E5" i="3"/>
  <c r="G5" i="3" s="1"/>
  <c r="J5" i="3" s="1"/>
  <c r="E62" i="3"/>
  <c r="G62" i="3" s="1"/>
  <c r="J62" i="3" s="1"/>
  <c r="E63" i="3"/>
  <c r="G63" i="3" s="1"/>
  <c r="J63" i="3" s="1"/>
  <c r="E71" i="3"/>
  <c r="G71" i="3" s="1"/>
  <c r="J71" i="3" s="1"/>
  <c r="E124" i="3"/>
  <c r="G124" i="3" s="1"/>
  <c r="J124" i="3" s="1"/>
  <c r="E163" i="3"/>
  <c r="G163" i="3" s="1"/>
  <c r="J163" i="3" s="1"/>
  <c r="E196" i="3"/>
  <c r="G196" i="3" s="1"/>
  <c r="J196" i="3" s="1"/>
  <c r="E35" i="3"/>
  <c r="G35" i="3" s="1"/>
  <c r="J35" i="3" s="1"/>
  <c r="E42" i="3"/>
  <c r="G42" i="3" s="1"/>
  <c r="J42" i="3" s="1"/>
  <c r="E59" i="3"/>
  <c r="G59" i="3" s="1"/>
  <c r="J59" i="3" s="1"/>
  <c r="E106" i="3"/>
  <c r="G106" i="3" s="1"/>
  <c r="J106" i="3" s="1"/>
  <c r="E155" i="3"/>
  <c r="G155" i="3" s="1"/>
  <c r="J155" i="3" s="1"/>
  <c r="E19" i="3"/>
  <c r="G19" i="3" s="1"/>
  <c r="J19" i="3" s="1"/>
  <c r="E64" i="3"/>
  <c r="G64" i="3" s="1"/>
  <c r="J64" i="3" s="1"/>
  <c r="E78" i="3"/>
  <c r="G78" i="3" s="1"/>
  <c r="J78" i="3" s="1"/>
  <c r="E101" i="3"/>
  <c r="G101" i="3" s="1"/>
  <c r="J101" i="3" s="1"/>
  <c r="E116" i="3"/>
  <c r="G116" i="3" s="1"/>
  <c r="J116" i="3" s="1"/>
  <c r="E160" i="3"/>
  <c r="G160" i="3" s="1"/>
  <c r="J160" i="3" s="1"/>
  <c r="E162" i="3"/>
  <c r="G162" i="3" s="1"/>
  <c r="J162" i="3" s="1"/>
  <c r="E183" i="3"/>
  <c r="G183" i="3" s="1"/>
  <c r="J183" i="3" s="1"/>
  <c r="E202" i="3"/>
  <c r="G202" i="3" s="1"/>
  <c r="J202" i="3" s="1"/>
  <c r="E209" i="3"/>
  <c r="G209" i="3" s="1"/>
  <c r="J209" i="3" s="1"/>
  <c r="E87" i="3"/>
  <c r="G87" i="3" s="1"/>
  <c r="J87" i="3" s="1"/>
  <c r="E92" i="3"/>
  <c r="G92" i="3" s="1"/>
  <c r="J92" i="3" s="1"/>
  <c r="E171" i="3"/>
  <c r="G171" i="3" s="1"/>
  <c r="J171" i="3" s="1"/>
  <c r="E23" i="3"/>
  <c r="G23" i="3" s="1"/>
  <c r="J23" i="3" s="1"/>
  <c r="E25" i="3"/>
  <c r="G25" i="3" s="1"/>
  <c r="J25" i="3" s="1"/>
  <c r="E32" i="3"/>
  <c r="G32" i="3" s="1"/>
  <c r="J32" i="3" s="1"/>
  <c r="E46" i="3"/>
  <c r="G46" i="3" s="1"/>
  <c r="J46" i="3" s="1"/>
  <c r="E90" i="3"/>
  <c r="G90" i="3" s="1"/>
  <c r="J90" i="3" s="1"/>
  <c r="E216" i="3"/>
  <c r="G216" i="3" s="1"/>
  <c r="J216" i="3" s="1"/>
  <c r="E40" i="3"/>
  <c r="G40" i="3" s="1"/>
  <c r="J40" i="3" s="1"/>
  <c r="E67" i="3"/>
  <c r="G67" i="3" s="1"/>
  <c r="J67" i="3" s="1"/>
  <c r="E68" i="3"/>
  <c r="G68" i="3" s="1"/>
  <c r="J68" i="3" s="1"/>
  <c r="E73" i="3"/>
  <c r="G73" i="3" s="1"/>
  <c r="J73" i="3" s="1"/>
  <c r="E127" i="3"/>
  <c r="G127" i="3" s="1"/>
  <c r="J127" i="3" s="1"/>
  <c r="E133" i="3"/>
  <c r="G133" i="3" s="1"/>
  <c r="J133" i="3" s="1"/>
  <c r="E134" i="3"/>
  <c r="G134" i="3" s="1"/>
  <c r="J134" i="3" s="1"/>
  <c r="E136" i="3"/>
  <c r="G136" i="3" s="1"/>
  <c r="J136" i="3" s="1"/>
  <c r="E137" i="3"/>
  <c r="G137" i="3" s="1"/>
  <c r="J137" i="3" s="1"/>
  <c r="E140" i="3"/>
  <c r="G140" i="3" s="1"/>
  <c r="J140" i="3" s="1"/>
  <c r="E141" i="3"/>
  <c r="G141" i="3" s="1"/>
  <c r="J141" i="3" s="1"/>
  <c r="E144" i="3"/>
  <c r="G144" i="3" s="1"/>
  <c r="J144" i="3" s="1"/>
  <c r="E145" i="3"/>
  <c r="G145" i="3" s="1"/>
  <c r="J145" i="3" s="1"/>
  <c r="E147" i="3"/>
  <c r="G147" i="3" s="1"/>
  <c r="J147" i="3" s="1"/>
  <c r="E150" i="3"/>
  <c r="G150" i="3" s="1"/>
  <c r="J150" i="3" s="1"/>
  <c r="E166" i="3"/>
  <c r="G166" i="3" s="1"/>
  <c r="J166" i="3" s="1"/>
  <c r="E170" i="3"/>
  <c r="G170" i="3" s="1"/>
  <c r="J170" i="3" s="1"/>
  <c r="E200" i="3"/>
  <c r="G200" i="3" s="1"/>
  <c r="J200" i="3" s="1"/>
  <c r="E204" i="3"/>
  <c r="G204" i="3" s="1"/>
  <c r="J204" i="3" s="1"/>
  <c r="E212" i="3"/>
  <c r="G212" i="3" s="1"/>
  <c r="J212" i="3" s="1"/>
  <c r="E41" i="3"/>
  <c r="G41" i="3" s="1"/>
  <c r="J41" i="3" s="1"/>
  <c r="E199" i="3"/>
  <c r="G199" i="3" s="1"/>
  <c r="J199" i="3" s="1"/>
  <c r="E99" i="3"/>
  <c r="G99" i="3" s="1"/>
  <c r="J99" i="3" s="1"/>
  <c r="E100" i="3"/>
  <c r="G100" i="3" s="1"/>
  <c r="J100" i="3" s="1"/>
  <c r="E125" i="3"/>
  <c r="G125" i="3" s="1"/>
  <c r="J125" i="3" s="1"/>
  <c r="E126" i="3"/>
  <c r="G126" i="3" s="1"/>
  <c r="J126" i="3" s="1"/>
  <c r="E177" i="3"/>
  <c r="G177" i="3" s="1"/>
  <c r="J177" i="3" s="1"/>
  <c r="E179" i="3"/>
  <c r="G179" i="3" s="1"/>
  <c r="J179" i="3" s="1"/>
  <c r="E6" i="3"/>
  <c r="G6" i="3" s="1"/>
  <c r="J6" i="3" s="1"/>
  <c r="E16" i="3"/>
  <c r="G16" i="3" s="1"/>
  <c r="J16" i="3" s="1"/>
  <c r="E24" i="3"/>
  <c r="G24" i="3" s="1"/>
  <c r="J24" i="3" s="1"/>
  <c r="E112" i="3"/>
  <c r="G112" i="3" s="1"/>
  <c r="J112" i="3" s="1"/>
  <c r="E113" i="3"/>
  <c r="G113" i="3" s="1"/>
  <c r="J113" i="3" s="1"/>
  <c r="E115" i="3"/>
  <c r="G115" i="3" s="1"/>
  <c r="J115" i="3" s="1"/>
  <c r="E143" i="3"/>
  <c r="G143" i="3" s="1"/>
  <c r="J143" i="3" s="1"/>
  <c r="E165" i="3"/>
  <c r="G165" i="3" s="1"/>
  <c r="J165" i="3" s="1"/>
  <c r="E193" i="3"/>
  <c r="G193" i="3" s="1"/>
  <c r="J193" i="3" s="1"/>
  <c r="E8" i="3"/>
  <c r="G8" i="3" s="1"/>
  <c r="J8" i="3" s="1"/>
  <c r="E9" i="3"/>
  <c r="G9" i="3" s="1"/>
  <c r="J9" i="3" s="1"/>
  <c r="E13" i="3"/>
  <c r="G13" i="3" s="1"/>
  <c r="J13" i="3" s="1"/>
  <c r="E14" i="3"/>
  <c r="G14" i="3" s="1"/>
  <c r="J14" i="3" s="1"/>
  <c r="E27" i="3"/>
  <c r="G27" i="3" s="1"/>
  <c r="J27" i="3" s="1"/>
  <c r="E47" i="3"/>
  <c r="G47" i="3" s="1"/>
  <c r="J47" i="3" s="1"/>
  <c r="E81" i="3"/>
  <c r="G81" i="3" s="1"/>
  <c r="J81" i="3" s="1"/>
  <c r="E82" i="3"/>
  <c r="G82" i="3" s="1"/>
  <c r="J82" i="3" s="1"/>
  <c r="E93" i="3"/>
  <c r="G93" i="3" s="1"/>
  <c r="J93" i="3" s="1"/>
  <c r="E94" i="3"/>
  <c r="G94" i="3" s="1"/>
  <c r="J94" i="3" s="1"/>
  <c r="E102" i="3"/>
  <c r="G102" i="3" s="1"/>
  <c r="J102" i="3" s="1"/>
  <c r="E128" i="3"/>
  <c r="G128" i="3" s="1"/>
  <c r="J128" i="3" s="1"/>
  <c r="E151" i="3"/>
  <c r="G151" i="3" s="1"/>
  <c r="J151" i="3" s="1"/>
  <c r="E167" i="3"/>
  <c r="G167" i="3" s="1"/>
  <c r="J167" i="3" s="1"/>
  <c r="E176" i="3"/>
  <c r="G176" i="3" s="1"/>
  <c r="J176" i="3" s="1"/>
  <c r="E184" i="3"/>
  <c r="G184" i="3" s="1"/>
  <c r="J184" i="3" s="1"/>
  <c r="E192" i="3"/>
  <c r="G192" i="3" s="1"/>
  <c r="J192" i="3" s="1"/>
  <c r="E222" i="3"/>
  <c r="G222" i="3" s="1"/>
  <c r="J222" i="3" s="1"/>
  <c r="E3" i="3"/>
  <c r="G3" i="3" s="1"/>
  <c r="J3" i="3" s="1"/>
  <c r="E84" i="3"/>
  <c r="G84" i="3" s="1"/>
  <c r="J84" i="3" s="1"/>
  <c r="E85" i="3"/>
  <c r="G85" i="3" s="1"/>
  <c r="J85" i="3" s="1"/>
  <c r="E114" i="3"/>
  <c r="G114" i="3" s="1"/>
  <c r="J114" i="3" s="1"/>
  <c r="E122" i="3"/>
  <c r="G122" i="3" s="1"/>
  <c r="J122" i="3" s="1"/>
  <c r="E158" i="3"/>
  <c r="G158" i="3" s="1"/>
  <c r="J158" i="3" s="1"/>
  <c r="E34" i="3"/>
  <c r="G34" i="3" s="1"/>
  <c r="J34" i="3" s="1"/>
  <c r="E51" i="3"/>
  <c r="G51" i="3" s="1"/>
  <c r="J51" i="3" s="1"/>
  <c r="E60" i="3"/>
  <c r="G60" i="3" s="1"/>
  <c r="J60" i="3" s="1"/>
  <c r="E65" i="3"/>
  <c r="G65" i="3" s="1"/>
  <c r="J65" i="3" s="1"/>
  <c r="E117" i="3"/>
  <c r="G117" i="3" s="1"/>
  <c r="J117" i="3" s="1"/>
  <c r="E173" i="3"/>
  <c r="G173" i="3" s="1"/>
  <c r="J173" i="3" s="1"/>
  <c r="E174" i="3"/>
  <c r="G174" i="3" s="1"/>
  <c r="J174" i="3" s="1"/>
  <c r="E187" i="3"/>
  <c r="G187" i="3" s="1"/>
  <c r="J187" i="3" s="1"/>
  <c r="E203" i="3"/>
  <c r="G203" i="3" s="1"/>
  <c r="J203" i="3" s="1"/>
  <c r="E217" i="3"/>
  <c r="G217" i="3" s="1"/>
  <c r="J217" i="3" s="1"/>
  <c r="E22" i="3"/>
  <c r="G22" i="3" s="1"/>
  <c r="J22" i="3" s="1"/>
  <c r="E26" i="3"/>
  <c r="G26" i="3" s="1"/>
  <c r="J26" i="3" s="1"/>
  <c r="E98" i="3"/>
  <c r="G98" i="3" s="1"/>
  <c r="J98" i="3" s="1"/>
  <c r="E132" i="3"/>
  <c r="G132" i="3" s="1"/>
  <c r="J132" i="3" s="1"/>
  <c r="E198" i="3"/>
  <c r="G198" i="3" s="1"/>
  <c r="J198" i="3" s="1"/>
  <c r="E205" i="3"/>
  <c r="G205" i="3" s="1"/>
  <c r="J205" i="3" s="1"/>
  <c r="E20" i="3"/>
  <c r="G20" i="3" s="1"/>
  <c r="J20" i="3" s="1"/>
  <c r="E28" i="3"/>
  <c r="G28" i="3" s="1"/>
  <c r="J28" i="3" s="1"/>
  <c r="E37" i="3"/>
  <c r="G37" i="3" s="1"/>
  <c r="J37" i="3" s="1"/>
  <c r="E88" i="3"/>
  <c r="G88" i="3" s="1"/>
  <c r="J88" i="3" s="1"/>
  <c r="E109" i="3"/>
  <c r="G109" i="3" s="1"/>
  <c r="J109" i="3" s="1"/>
  <c r="E110" i="3"/>
  <c r="G110" i="3" s="1"/>
  <c r="J110" i="3" s="1"/>
  <c r="E119" i="3"/>
  <c r="G119" i="3" s="1"/>
  <c r="J119" i="3" s="1"/>
  <c r="E120" i="3"/>
  <c r="G120" i="3" s="1"/>
  <c r="J120" i="3" s="1"/>
  <c r="E201" i="3"/>
  <c r="G201" i="3" s="1"/>
  <c r="J201" i="3" s="1"/>
  <c r="E218" i="3"/>
  <c r="G218" i="3" s="1"/>
  <c r="J218" i="3" s="1"/>
  <c r="E29" i="3"/>
  <c r="G29" i="3" s="1"/>
  <c r="J29" i="3" s="1"/>
  <c r="E58" i="3"/>
  <c r="G58" i="3" s="1"/>
  <c r="J58" i="3" s="1"/>
  <c r="E70" i="3"/>
  <c r="G70" i="3" s="1"/>
  <c r="J70" i="3" s="1"/>
  <c r="E86" i="3"/>
  <c r="G86" i="3" s="1"/>
  <c r="J86" i="3" s="1"/>
  <c r="E96" i="3"/>
  <c r="G96" i="3" s="1"/>
  <c r="J96" i="3" s="1"/>
  <c r="E118" i="3"/>
  <c r="G118" i="3" s="1"/>
  <c r="J118" i="3" s="1"/>
  <c r="E138" i="3"/>
  <c r="G138" i="3" s="1"/>
  <c r="J138" i="3" s="1"/>
  <c r="E157" i="3"/>
  <c r="G157" i="3" s="1"/>
  <c r="J157" i="3" s="1"/>
  <c r="E188" i="3"/>
  <c r="G188" i="3" s="1"/>
  <c r="J188" i="3" s="1"/>
  <c r="E44" i="3"/>
  <c r="G44" i="3" s="1"/>
  <c r="J44" i="3" s="1"/>
  <c r="E129" i="3"/>
  <c r="G129" i="3" s="1"/>
  <c r="J129" i="3" s="1"/>
  <c r="E164" i="3"/>
  <c r="G164" i="3" s="1"/>
  <c r="J164" i="3" s="1"/>
  <c r="E172" i="3"/>
  <c r="G172" i="3" s="1"/>
  <c r="J172" i="3" s="1"/>
  <c r="E178" i="3"/>
  <c r="G178" i="3" s="1"/>
  <c r="J178" i="3" s="1"/>
  <c r="E181" i="3"/>
  <c r="G181" i="3" s="1"/>
  <c r="J181" i="3" s="1"/>
  <c r="E189" i="3"/>
  <c r="G189" i="3" s="1"/>
  <c r="J189" i="3" s="1"/>
  <c r="E211" i="3"/>
  <c r="G211" i="3" s="1"/>
  <c r="J211" i="3" s="1"/>
  <c r="E36" i="3"/>
  <c r="G36" i="3" s="1"/>
  <c r="J36" i="3" s="1"/>
  <c r="E39" i="3"/>
  <c r="G39" i="3" s="1"/>
  <c r="J39" i="3" s="1"/>
  <c r="E75" i="3"/>
  <c r="G75" i="3" s="1"/>
  <c r="J75" i="3" s="1"/>
  <c r="E130" i="3"/>
  <c r="G130" i="3" s="1"/>
  <c r="J130" i="3" s="1"/>
  <c r="E153" i="3"/>
  <c r="G153" i="3" s="1"/>
  <c r="J153" i="3" s="1"/>
  <c r="E180" i="3"/>
  <c r="G180" i="3" s="1"/>
  <c r="J180" i="3" s="1"/>
  <c r="E191" i="3"/>
  <c r="G191" i="3" s="1"/>
  <c r="J191" i="3" s="1"/>
  <c r="E197" i="3"/>
  <c r="G197" i="3" s="1"/>
  <c r="J197" i="3" s="1"/>
  <c r="E207" i="3"/>
  <c r="G207" i="3" s="1"/>
  <c r="J207" i="3" s="1"/>
  <c r="E103" i="3"/>
  <c r="G103" i="3" s="1"/>
  <c r="J103" i="3" s="1"/>
</calcChain>
</file>

<file path=xl/sharedStrings.xml><?xml version="1.0" encoding="utf-8"?>
<sst xmlns="http://schemas.openxmlformats.org/spreadsheetml/2006/main" count="673" uniqueCount="350">
  <si>
    <t>Occupation</t>
  </si>
  <si>
    <t>Sector</t>
  </si>
  <si>
    <t>Sub-sector female</t>
  </si>
  <si>
    <t>Accountants and auditors</t>
  </si>
  <si>
    <t>Business and financial operations occupations</t>
  </si>
  <si>
    <t>Administrative services managers</t>
  </si>
  <si>
    <t>Management occupations</t>
  </si>
  <si>
    <t>Educational, guidance, and career counselors and advisors</t>
  </si>
  <si>
    <t>Community and social service occupations</t>
  </si>
  <si>
    <t>Lawyers</t>
  </si>
  <si>
    <t>Legal occupations</t>
  </si>
  <si>
    <t>Artists and related workers</t>
  </si>
  <si>
    <t>Arts, design, entertainment, sports, and media occupations</t>
  </si>
  <si>
    <t>Miscellaneous social scientists and related workers</t>
  </si>
  <si>
    <t>Life, physical, and social science occupations</t>
  </si>
  <si>
    <t>Architects, except landscape and naval</t>
  </si>
  <si>
    <t>Architecture and engineering occupations</t>
  </si>
  <si>
    <t>/</t>
  </si>
  <si>
    <t>Writers and authors</t>
  </si>
  <si>
    <t>Preschool and kindergarten teachers</t>
  </si>
  <si>
    <t>Education, training, and library occupations</t>
  </si>
  <si>
    <t>Bakers</t>
  </si>
  <si>
    <t>Production occupations</t>
  </si>
  <si>
    <t>Barbers</t>
  </si>
  <si>
    <t>Personal care and service occupations</t>
  </si>
  <si>
    <t>Hosts and hostesses, restaurant, lounge, and coffee shop</t>
  </si>
  <si>
    <t>Food preparation and serving related occupations</t>
  </si>
  <si>
    <t>Bartenders</t>
  </si>
  <si>
    <t>Hairdressers, hairstylists, and cosmetologists</t>
  </si>
  <si>
    <t>Biological scientists</t>
  </si>
  <si>
    <t>Other metal workers and plastic workers</t>
  </si>
  <si>
    <t>Other protective service workers</t>
  </si>
  <si>
    <t>Protective service occupations</t>
  </si>
  <si>
    <t>Jewelers and precious stone and metal workers</t>
  </si>
  <si>
    <t>Butchers and other meat, poultry, and fish processing workers</t>
  </si>
  <si>
    <t>Food preparation workers</t>
  </si>
  <si>
    <t>Producers and directors</t>
  </si>
  <si>
    <t>Broadcast, sound, and lighting technicians</t>
  </si>
  <si>
    <t>Television, video, and film camera operators and editors</t>
  </si>
  <si>
    <t>Financial clerks, all other</t>
  </si>
  <si>
    <t>Office and administrative support occupations</t>
  </si>
  <si>
    <t>Construction laborers</t>
  </si>
  <si>
    <t>Construction and extraction occupations</t>
  </si>
  <si>
    <t>Bus drivers, transit and intercity</t>
  </si>
  <si>
    <t>Transportation and material moving occupations</t>
  </si>
  <si>
    <t>Other physicians</t>
  </si>
  <si>
    <t>Healthcare practitioners and technical occupations</t>
  </si>
  <si>
    <t>Personal care aides</t>
  </si>
  <si>
    <t>Healthcare support occupations</t>
  </si>
  <si>
    <t>Carpenters</t>
  </si>
  <si>
    <t>Cashiers</t>
  </si>
  <si>
    <t>Sales and related occupations</t>
  </si>
  <si>
    <t>Musicians and singers</t>
  </si>
  <si>
    <t>Chefs and head cooks</t>
  </si>
  <si>
    <t>Chemists and materials scientists</t>
  </si>
  <si>
    <t>Maids and housekeeping cleaners</t>
  </si>
  <si>
    <t>Building and grounds cleaning and maintenance occupations</t>
  </si>
  <si>
    <t>Police officers</t>
  </si>
  <si>
    <t>News analysts, reporters, and journalists</t>
  </si>
  <si>
    <t>Archivists, curators, and museum technicians</t>
  </si>
  <si>
    <t>Customer service representatives</t>
  </si>
  <si>
    <t>Dentists</t>
  </si>
  <si>
    <t>Detectives and criminal investigators</t>
  </si>
  <si>
    <t>Software developers</t>
  </si>
  <si>
    <t>Computer and mathematical occupations</t>
  </si>
  <si>
    <t>Welding, soldering, and brazing workers</t>
  </si>
  <si>
    <t>Waiters and waitresses</t>
  </si>
  <si>
    <t>Shipping, receiving, and inventory clerks</t>
  </si>
  <si>
    <t>Veterinarians</t>
  </si>
  <si>
    <t>Sales and related workers, all other</t>
  </si>
  <si>
    <t>Claims adjusters, appraisers, examiners, and investigators</t>
  </si>
  <si>
    <t>Tutors</t>
  </si>
  <si>
    <t>Driver/sales workers and truck drivers</t>
  </si>
  <si>
    <t>Interpreters and translators</t>
  </si>
  <si>
    <t>Exercise trainers and group fitness instructors</t>
  </si>
  <si>
    <t>Therapists, all other</t>
  </si>
  <si>
    <t>Tellers</t>
  </si>
  <si>
    <t>Tailors, dressmakers, and sewers</t>
  </si>
  <si>
    <t>Surgeons</t>
  </si>
  <si>
    <t>Other healthcare support workers</t>
  </si>
  <si>
    <t>Flight attendants</t>
  </si>
  <si>
    <t>First-line supervisors of retail sales workers</t>
  </si>
  <si>
    <t>First-line supervisors of police and detectives</t>
  </si>
  <si>
    <t>Secretaries and administrative assistants, except legal, medical, and executive</t>
  </si>
  <si>
    <t>Other educational instruction and library workers</t>
  </si>
  <si>
    <t>Sales representatives of services, except advertising, insurance, financial services, and travel</t>
  </si>
  <si>
    <t>Installation, maintenance, and repair occupations</t>
  </si>
  <si>
    <t>Retail salespersons</t>
  </si>
  <si>
    <t>Other installation, maintenance, and repair workers</t>
  </si>
  <si>
    <t>Human resources assistants, except payroll and timekeeping</t>
  </si>
  <si>
    <t>Receptionists and information clerks</t>
  </si>
  <si>
    <t>Real estate brokers and sales agents</t>
  </si>
  <si>
    <t>Farming, fishing, and forestry occupations</t>
  </si>
  <si>
    <t>Purchasing agents, except wholesale, retail, and farm products</t>
  </si>
  <si>
    <t>Public relations specialists</t>
  </si>
  <si>
    <t>Other psychologists</t>
  </si>
  <si>
    <t>Computer programmers</t>
  </si>
  <si>
    <t>Postsecondary teachers</t>
  </si>
  <si>
    <t>Plumbers, pipefitters, and steamfitters</t>
  </si>
  <si>
    <t>Aircraft pilots and flight engineers</t>
  </si>
  <si>
    <t>Photographers</t>
  </si>
  <si>
    <t>Pharmacists</t>
  </si>
  <si>
    <t>Paralegals and legal assistants</t>
  </si>
  <si>
    <t>Dietitians and nutritionists</t>
  </si>
  <si>
    <t>Registered nurses</t>
  </si>
  <si>
    <t>Childcare workers</t>
  </si>
  <si>
    <t>Laborers and freight, stock, and material movers, hand</t>
  </si>
  <si>
    <t>Taxi drivers</t>
  </si>
  <si>
    <t>Editors</t>
  </si>
  <si>
    <t>Other drafters</t>
  </si>
  <si>
    <t>Medical scientists</t>
  </si>
  <si>
    <t>Cost estimators</t>
  </si>
  <si>
    <t>Farmers, ranchers, and other agricultural managers</t>
  </si>
  <si>
    <t>Financial managers</t>
  </si>
  <si>
    <t>Firefighters</t>
  </si>
  <si>
    <t>Floral designers</t>
  </si>
  <si>
    <t>Security guards and gambling surveillance officers</t>
  </si>
  <si>
    <t>Janitors and building cleaners</t>
  </si>
  <si>
    <t>Automotive service technicians and mechanics</t>
  </si>
  <si>
    <t>Library assistants, clerical</t>
  </si>
  <si>
    <t>Judges, magistrates, and other judicial workers</t>
  </si>
  <si>
    <t>Women</t>
  </si>
  <si>
    <t>Men</t>
  </si>
  <si>
    <t>accountant</t>
  </si>
  <si>
    <t>homemaker</t>
  </si>
  <si>
    <t>architect</t>
  </si>
  <si>
    <t>drafter</t>
  </si>
  <si>
    <t>electrician</t>
  </si>
  <si>
    <t>engineer</t>
  </si>
  <si>
    <t>animator</t>
  </si>
  <si>
    <t>artist</t>
  </si>
  <si>
    <t>artiste</t>
  </si>
  <si>
    <t>athlete</t>
  </si>
  <si>
    <t>author</t>
  </si>
  <si>
    <t>boxer</t>
  </si>
  <si>
    <t>broadcaster</t>
  </si>
  <si>
    <t>cartoonist</t>
  </si>
  <si>
    <t>cellist</t>
  </si>
  <si>
    <t>choreographer</t>
  </si>
  <si>
    <t>cinematographer</t>
  </si>
  <si>
    <t>columnist</t>
  </si>
  <si>
    <t>comedian</t>
  </si>
  <si>
    <t>comic</t>
  </si>
  <si>
    <t>commentator</t>
  </si>
  <si>
    <t>composer</t>
  </si>
  <si>
    <t>conductor</t>
  </si>
  <si>
    <t>correspondent</t>
  </si>
  <si>
    <t>dancer</t>
  </si>
  <si>
    <t>designer</t>
  </si>
  <si>
    <t>drummer</t>
  </si>
  <si>
    <t>editor</t>
  </si>
  <si>
    <t>florist</t>
  </si>
  <si>
    <t>footballer</t>
  </si>
  <si>
    <t>goalkeeper</t>
  </si>
  <si>
    <t>guitarist</t>
  </si>
  <si>
    <t>illustrator</t>
  </si>
  <si>
    <t>journalist</t>
  </si>
  <si>
    <t>maestro</t>
  </si>
  <si>
    <t>musician</t>
  </si>
  <si>
    <t>novelist</t>
  </si>
  <si>
    <t>organist</t>
  </si>
  <si>
    <t>painter</t>
  </si>
  <si>
    <t>performer</t>
  </si>
  <si>
    <t>photographer</t>
  </si>
  <si>
    <t>photojournalist</t>
  </si>
  <si>
    <t>pianist</t>
  </si>
  <si>
    <t>playwright</t>
  </si>
  <si>
    <t>poet</t>
  </si>
  <si>
    <t>presenter</t>
  </si>
  <si>
    <t>producer</t>
  </si>
  <si>
    <t>publicist</t>
  </si>
  <si>
    <t>reporter</t>
  </si>
  <si>
    <t>saxophonist</t>
  </si>
  <si>
    <t>screenwriter</t>
  </si>
  <si>
    <t>sculptor</t>
  </si>
  <si>
    <t>singer</t>
  </si>
  <si>
    <t>soloist</t>
  </si>
  <si>
    <t>sportswriter</t>
  </si>
  <si>
    <t>translator</t>
  </si>
  <si>
    <t>trumpeter</t>
  </si>
  <si>
    <t>videographer</t>
  </si>
  <si>
    <t>violinist</t>
  </si>
  <si>
    <t>vocalist</t>
  </si>
  <si>
    <t>wrestler</t>
  </si>
  <si>
    <t>writer</t>
  </si>
  <si>
    <t>youtuber</t>
  </si>
  <si>
    <t>cleaner</t>
  </si>
  <si>
    <t>housekeeper</t>
  </si>
  <si>
    <t>janitor</t>
  </si>
  <si>
    <t>auditor</t>
  </si>
  <si>
    <t>banker</t>
  </si>
  <si>
    <t>bookkeeper</t>
  </si>
  <si>
    <t>estimator</t>
  </si>
  <si>
    <t>marketer</t>
  </si>
  <si>
    <t>purchaser</t>
  </si>
  <si>
    <t>valuer</t>
  </si>
  <si>
    <t>adviser</t>
  </si>
  <si>
    <t>advisor</t>
  </si>
  <si>
    <t>counsellor</t>
  </si>
  <si>
    <t>counselor</t>
  </si>
  <si>
    <t>developer</t>
  </si>
  <si>
    <t>mathematician</t>
  </si>
  <si>
    <t>programmer</t>
  </si>
  <si>
    <t>statistician</t>
  </si>
  <si>
    <t>builder</t>
  </si>
  <si>
    <t>carpenter</t>
  </si>
  <si>
    <t>installer</t>
  </si>
  <si>
    <t>plumber</t>
  </si>
  <si>
    <t>babysitter</t>
  </si>
  <si>
    <t>curator</t>
  </si>
  <si>
    <t>educator</t>
  </si>
  <si>
    <t>headmaster</t>
  </si>
  <si>
    <t>lecturer</t>
  </si>
  <si>
    <t>principal</t>
  </si>
  <si>
    <t>professor</t>
  </si>
  <si>
    <t>scholar</t>
  </si>
  <si>
    <t>teacher</t>
  </si>
  <si>
    <t>tutor</t>
  </si>
  <si>
    <t>fisher</t>
  </si>
  <si>
    <t>gardener</t>
  </si>
  <si>
    <t>ranger</t>
  </si>
  <si>
    <t>barista</t>
  </si>
  <si>
    <t>bartender</t>
  </si>
  <si>
    <t>brewer</t>
  </si>
  <si>
    <t>chef</t>
  </si>
  <si>
    <t>waiter</t>
  </si>
  <si>
    <t>cardiologist</t>
  </si>
  <si>
    <t>dentist</t>
  </si>
  <si>
    <t>dermatologist</t>
  </si>
  <si>
    <t>doctor</t>
  </si>
  <si>
    <t>medic</t>
  </si>
  <si>
    <t>neurologist</t>
  </si>
  <si>
    <t>neurosurgeon</t>
  </si>
  <si>
    <t>nurse</t>
  </si>
  <si>
    <t>nutritionist</t>
  </si>
  <si>
    <t>orthopedic</t>
  </si>
  <si>
    <t>paediatrician</t>
  </si>
  <si>
    <t>pathologist</t>
  </si>
  <si>
    <t>pediatrician</t>
  </si>
  <si>
    <t>pharmacist</t>
  </si>
  <si>
    <t>physician</t>
  </si>
  <si>
    <t>psychiatrist</t>
  </si>
  <si>
    <t>radiologist</t>
  </si>
  <si>
    <t>surgeon</t>
  </si>
  <si>
    <t>therapist</t>
  </si>
  <si>
    <t>vet</t>
  </si>
  <si>
    <t>caretaker</t>
  </si>
  <si>
    <t>handyperson</t>
  </si>
  <si>
    <t>handyworker</t>
  </si>
  <si>
    <t>mechanic</t>
  </si>
  <si>
    <t>mechanician</t>
  </si>
  <si>
    <t>restaurateur</t>
  </si>
  <si>
    <t>rigger</t>
  </si>
  <si>
    <t>advocate</t>
  </si>
  <si>
    <t>attorney</t>
  </si>
  <si>
    <t>barrister</t>
  </si>
  <si>
    <t>judge</t>
  </si>
  <si>
    <t>jurist</t>
  </si>
  <si>
    <t>lawyer</t>
  </si>
  <si>
    <t>paralegal</t>
  </si>
  <si>
    <t>prosecutor</t>
  </si>
  <si>
    <t>solicitor</t>
  </si>
  <si>
    <t>anthropologist</t>
  </si>
  <si>
    <t>archaeologist</t>
  </si>
  <si>
    <t>astronaut</t>
  </si>
  <si>
    <t>astronomer</t>
  </si>
  <si>
    <t>biologist</t>
  </si>
  <si>
    <t>chemist</t>
  </si>
  <si>
    <t>environmentalist</t>
  </si>
  <si>
    <t>epidemiologist</t>
  </si>
  <si>
    <t>geologist</t>
  </si>
  <si>
    <t>geophysicist</t>
  </si>
  <si>
    <t>historian</t>
  </si>
  <si>
    <t>microbiologist</t>
  </si>
  <si>
    <t>physicist</t>
  </si>
  <si>
    <t>psychologist</t>
  </si>
  <si>
    <t>researcher</t>
  </si>
  <si>
    <t>scientist</t>
  </si>
  <si>
    <t>sociologist</t>
  </si>
  <si>
    <t>zoologist</t>
  </si>
  <si>
    <t>administrator</t>
  </si>
  <si>
    <t>farmer</t>
  </si>
  <si>
    <t>financier</t>
  </si>
  <si>
    <t>lawmaker</t>
  </si>
  <si>
    <t>manager</t>
  </si>
  <si>
    <t>postmaster</t>
  </si>
  <si>
    <t>broker</t>
  </si>
  <si>
    <t>clerk</t>
  </si>
  <si>
    <t>copywriter</t>
  </si>
  <si>
    <t>librarian</t>
  </si>
  <si>
    <t>receptionist</t>
  </si>
  <si>
    <t>recruiter</t>
  </si>
  <si>
    <t>secretary</t>
  </si>
  <si>
    <t>teller</t>
  </si>
  <si>
    <t>barber</t>
  </si>
  <si>
    <t>beautician</t>
  </si>
  <si>
    <t>hairdresser</t>
  </si>
  <si>
    <t>nanny</t>
  </si>
  <si>
    <t>stylist</t>
  </si>
  <si>
    <t>trainer</t>
  </si>
  <si>
    <t>baker</t>
  </si>
  <si>
    <t>blacksmith</t>
  </si>
  <si>
    <t>butcher</t>
  </si>
  <si>
    <t>fitter</t>
  </si>
  <si>
    <t>jeweller</t>
  </si>
  <si>
    <t>machinist</t>
  </si>
  <si>
    <t>tailor</t>
  </si>
  <si>
    <t>welder</t>
  </si>
  <si>
    <t>bodyguard</t>
  </si>
  <si>
    <t>constable</t>
  </si>
  <si>
    <t>detective</t>
  </si>
  <si>
    <t>firefighter</t>
  </si>
  <si>
    <t>guard</t>
  </si>
  <si>
    <t>lifeguard</t>
  </si>
  <si>
    <t>officer</t>
  </si>
  <si>
    <t>sheriff</t>
  </si>
  <si>
    <t>cashier</t>
  </si>
  <si>
    <t>model</t>
  </si>
  <si>
    <t>promoter</t>
  </si>
  <si>
    <t>realtor</t>
  </si>
  <si>
    <t>salesperson</t>
  </si>
  <si>
    <t>shopkeeper</t>
  </si>
  <si>
    <t>vendor</t>
  </si>
  <si>
    <t>captain</t>
  </si>
  <si>
    <t>driver</t>
  </si>
  <si>
    <t>mover</t>
  </si>
  <si>
    <t>pilot</t>
  </si>
  <si>
    <t>sailor</t>
  </si>
  <si>
    <t>skipper</t>
  </si>
  <si>
    <t>steward</t>
  </si>
  <si>
    <t>trucker</t>
  </si>
  <si>
    <t>Percentage_Men</t>
  </si>
  <si>
    <t>Total</t>
  </si>
  <si>
    <t>Electricians</t>
  </si>
  <si>
    <t>camera operator</t>
  </si>
  <si>
    <t>digital content creator</t>
  </si>
  <si>
    <t>investment banker</t>
  </si>
  <si>
    <t>construction worker</t>
  </si>
  <si>
    <t>food server</t>
  </si>
  <si>
    <t>support worker</t>
  </si>
  <si>
    <t>customer service worker</t>
  </si>
  <si>
    <t>warehouse operative</t>
  </si>
  <si>
    <t>jewelry maker</t>
  </si>
  <si>
    <t>machine operator</t>
  </si>
  <si>
    <t>police officer</t>
  </si>
  <si>
    <t>retail assistant</t>
  </si>
  <si>
    <t>bus driver</t>
  </si>
  <si>
    <t>Percentage_Women</t>
  </si>
  <si>
    <t>Women_Number</t>
  </si>
  <si>
    <t>Men_Number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</si>
</sst>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F4FF"/>
        <bgColor indexed="64"/>
      </patternFill>
    </fill>
  </fills>
  <borders count="2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1" fillId="2" borderId="0" xfId="0" applyFont="1" applyFill="1" applyAlignment="1">
      <alignment horizontal="right" vertical="center" wrapText="1"/>
    </xf>
    <xf numFmtId="0" fontId="1" fillId="0" borderId="1" xfId="0" applyFont="1" applyBorder="1"/>
    <xf numFmtId="0" fontId="1" fillId="3" borderId="0" xfId="0" applyFont="1" applyFill="1" applyAlignment="1">
      <alignment horizontal="right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01DA1-FE9C-43B8-823D-AC735094C62A}">
  <dimension ref="A1:J222"/>
  <sheetViews>
    <sheetView tabSelected="1" workbookViewId="0">
      <selection activeCell="J2" sqref="J2"/>
    </sheetView>
  </sheetViews>
  <sheetFormatPr baseColWidth="10" defaultRowHeight="14.5" x14ac:dyDescent="0.35"/>
  <cols>
    <col min="1" max="1" width="29.81640625" customWidth="1"/>
    <col min="2" max="2" width="18.6328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347</v>
      </c>
      <c r="E1" t="s">
        <v>331</v>
      </c>
      <c r="F1" t="s">
        <v>121</v>
      </c>
      <c r="G1" t="s">
        <v>122</v>
      </c>
      <c r="H1" t="s">
        <v>332</v>
      </c>
      <c r="I1" t="s">
        <v>348</v>
      </c>
      <c r="J1" t="s">
        <v>349</v>
      </c>
    </row>
    <row r="2" spans="1:10" x14ac:dyDescent="0.35">
      <c r="A2" t="s">
        <v>123</v>
      </c>
      <c r="B2" t="s">
        <v>4</v>
      </c>
      <c r="C2" t="s">
        <v>3</v>
      </c>
      <c r="D2">
        <v>57</v>
      </c>
      <c r="E2">
        <f t="shared" ref="E2:E65" si="0">100-D2</f>
        <v>43</v>
      </c>
      <c r="F2">
        <f t="shared" ref="F2:F65" si="1">D2/100</f>
        <v>0.56999999999999995</v>
      </c>
      <c r="G2" s="1">
        <f t="shared" ref="G2:G65" si="2">E2/100</f>
        <v>0.43</v>
      </c>
      <c r="H2" s="1">
        <v>1624</v>
      </c>
      <c r="I2" s="1">
        <f t="shared" ref="I2:I65" si="3">$H2*F2</f>
        <v>925.68</v>
      </c>
      <c r="J2" s="1">
        <f t="shared" ref="J2:J65" si="4">$H2*G2</f>
        <v>698.31999999999994</v>
      </c>
    </row>
    <row r="3" spans="1:10" x14ac:dyDescent="0.35">
      <c r="A3" t="s">
        <v>280</v>
      </c>
      <c r="B3" t="s">
        <v>6</v>
      </c>
      <c r="C3" t="s">
        <v>5</v>
      </c>
      <c r="D3">
        <v>74</v>
      </c>
      <c r="E3">
        <f t="shared" si="0"/>
        <v>26</v>
      </c>
      <c r="F3">
        <f t="shared" si="1"/>
        <v>0.74</v>
      </c>
      <c r="G3" s="1">
        <f t="shared" si="2"/>
        <v>0.26</v>
      </c>
      <c r="H3" s="1">
        <v>78</v>
      </c>
      <c r="I3" s="1">
        <f t="shared" si="3"/>
        <v>57.72</v>
      </c>
      <c r="J3" s="1">
        <f t="shared" si="4"/>
        <v>20.28</v>
      </c>
    </row>
    <row r="4" spans="1:10" x14ac:dyDescent="0.35">
      <c r="A4" t="s">
        <v>196</v>
      </c>
      <c r="B4" t="s">
        <v>8</v>
      </c>
      <c r="C4" t="s">
        <v>7</v>
      </c>
      <c r="D4">
        <v>79.2</v>
      </c>
      <c r="E4">
        <f t="shared" si="0"/>
        <v>20.799999999999997</v>
      </c>
      <c r="F4">
        <f t="shared" si="1"/>
        <v>0.79200000000000004</v>
      </c>
      <c r="G4" s="1">
        <f t="shared" si="2"/>
        <v>0.20799999999999996</v>
      </c>
      <c r="H4" s="1">
        <v>384</v>
      </c>
      <c r="I4" s="1">
        <f t="shared" si="3"/>
        <v>304.12800000000004</v>
      </c>
      <c r="J4" s="1">
        <f t="shared" si="4"/>
        <v>79.871999999999986</v>
      </c>
    </row>
    <row r="5" spans="1:10" x14ac:dyDescent="0.35">
      <c r="A5" t="s">
        <v>197</v>
      </c>
      <c r="B5" t="s">
        <v>8</v>
      </c>
      <c r="C5" t="s">
        <v>7</v>
      </c>
      <c r="D5">
        <v>79.2</v>
      </c>
      <c r="E5">
        <f t="shared" si="0"/>
        <v>20.799999999999997</v>
      </c>
      <c r="F5">
        <f t="shared" si="1"/>
        <v>0.79200000000000004</v>
      </c>
      <c r="G5" s="1">
        <f t="shared" si="2"/>
        <v>0.20799999999999996</v>
      </c>
      <c r="H5" s="1">
        <v>384</v>
      </c>
      <c r="I5" s="1">
        <f t="shared" si="3"/>
        <v>304.12800000000004</v>
      </c>
      <c r="J5" s="1">
        <f t="shared" si="4"/>
        <v>79.871999999999986</v>
      </c>
    </row>
    <row r="6" spans="1:10" x14ac:dyDescent="0.35">
      <c r="A6" t="s">
        <v>253</v>
      </c>
      <c r="B6" t="s">
        <v>10</v>
      </c>
      <c r="C6" t="s">
        <v>9</v>
      </c>
      <c r="D6">
        <v>39.5</v>
      </c>
      <c r="E6">
        <f t="shared" si="0"/>
        <v>60.5</v>
      </c>
      <c r="F6">
        <f t="shared" si="1"/>
        <v>0.39500000000000002</v>
      </c>
      <c r="G6" s="1">
        <f t="shared" si="2"/>
        <v>0.60499999999999998</v>
      </c>
      <c r="H6" s="1">
        <v>1189</v>
      </c>
      <c r="I6" s="1">
        <f t="shared" si="3"/>
        <v>469.65500000000003</v>
      </c>
      <c r="J6" s="1">
        <f t="shared" si="4"/>
        <v>719.34500000000003</v>
      </c>
    </row>
    <row r="7" spans="1:10" x14ac:dyDescent="0.35">
      <c r="A7" t="s">
        <v>129</v>
      </c>
      <c r="B7" t="s">
        <v>12</v>
      </c>
      <c r="C7" t="s">
        <v>11</v>
      </c>
      <c r="D7">
        <v>51.6</v>
      </c>
      <c r="E7">
        <f t="shared" si="0"/>
        <v>48.4</v>
      </c>
      <c r="F7">
        <f t="shared" si="1"/>
        <v>0.51600000000000001</v>
      </c>
      <c r="G7" s="1">
        <f t="shared" si="2"/>
        <v>0.48399999999999999</v>
      </c>
      <c r="H7" s="1">
        <v>334</v>
      </c>
      <c r="I7" s="1">
        <f t="shared" si="3"/>
        <v>172.34399999999999</v>
      </c>
      <c r="J7" s="1">
        <f t="shared" si="4"/>
        <v>161.65600000000001</v>
      </c>
    </row>
    <row r="8" spans="1:10" x14ac:dyDescent="0.35">
      <c r="A8" t="s">
        <v>262</v>
      </c>
      <c r="B8" t="s">
        <v>14</v>
      </c>
      <c r="C8" t="s">
        <v>13</v>
      </c>
      <c r="D8">
        <v>53.9</v>
      </c>
      <c r="E8">
        <f t="shared" si="0"/>
        <v>46.1</v>
      </c>
      <c r="F8">
        <f t="shared" si="1"/>
        <v>0.53900000000000003</v>
      </c>
      <c r="G8" s="1">
        <f t="shared" si="2"/>
        <v>0.46100000000000002</v>
      </c>
      <c r="H8" s="1">
        <v>55</v>
      </c>
      <c r="I8" s="1">
        <f t="shared" si="3"/>
        <v>29.645000000000003</v>
      </c>
      <c r="J8" s="1">
        <f t="shared" si="4"/>
        <v>25.355</v>
      </c>
    </row>
    <row r="9" spans="1:10" x14ac:dyDescent="0.35">
      <c r="A9" t="s">
        <v>263</v>
      </c>
      <c r="B9" t="s">
        <v>14</v>
      </c>
      <c r="C9" t="s">
        <v>13</v>
      </c>
      <c r="D9">
        <v>53.9</v>
      </c>
      <c r="E9">
        <f t="shared" si="0"/>
        <v>46.1</v>
      </c>
      <c r="F9">
        <f t="shared" si="1"/>
        <v>0.53900000000000003</v>
      </c>
      <c r="G9" s="1">
        <f t="shared" si="2"/>
        <v>0.46100000000000002</v>
      </c>
      <c r="H9" s="1">
        <v>55</v>
      </c>
      <c r="I9" s="1">
        <f t="shared" si="3"/>
        <v>29.645000000000003</v>
      </c>
      <c r="J9" s="1">
        <f t="shared" si="4"/>
        <v>25.355</v>
      </c>
    </row>
    <row r="10" spans="1:10" x14ac:dyDescent="0.35">
      <c r="A10" t="s">
        <v>125</v>
      </c>
      <c r="B10" t="s">
        <v>16</v>
      </c>
      <c r="C10" t="s">
        <v>15</v>
      </c>
      <c r="D10">
        <v>31</v>
      </c>
      <c r="E10">
        <f t="shared" si="0"/>
        <v>69</v>
      </c>
      <c r="F10">
        <f t="shared" si="1"/>
        <v>0.31</v>
      </c>
      <c r="G10" s="1">
        <f t="shared" si="2"/>
        <v>0.69</v>
      </c>
      <c r="H10" s="2">
        <v>203</v>
      </c>
      <c r="I10" s="1">
        <f t="shared" si="3"/>
        <v>62.93</v>
      </c>
      <c r="J10" s="1">
        <f t="shared" si="4"/>
        <v>140.07</v>
      </c>
    </row>
    <row r="11" spans="1:10" x14ac:dyDescent="0.35">
      <c r="A11" t="s">
        <v>130</v>
      </c>
      <c r="B11" t="s">
        <v>12</v>
      </c>
      <c r="C11" t="s">
        <v>11</v>
      </c>
      <c r="D11">
        <v>51.6</v>
      </c>
      <c r="E11">
        <f t="shared" si="0"/>
        <v>48.4</v>
      </c>
      <c r="F11">
        <f t="shared" si="1"/>
        <v>0.51600000000000001</v>
      </c>
      <c r="G11" s="1">
        <f t="shared" si="2"/>
        <v>0.48399999999999999</v>
      </c>
      <c r="H11" s="1">
        <v>334</v>
      </c>
      <c r="I11" s="1">
        <f t="shared" si="3"/>
        <v>172.34399999999999</v>
      </c>
      <c r="J11" s="1">
        <f t="shared" si="4"/>
        <v>161.65600000000001</v>
      </c>
    </row>
    <row r="12" spans="1:10" x14ac:dyDescent="0.35">
      <c r="A12" t="s">
        <v>131</v>
      </c>
      <c r="B12" t="s">
        <v>12</v>
      </c>
      <c r="C12" t="s">
        <v>11</v>
      </c>
      <c r="D12">
        <v>51.6</v>
      </c>
      <c r="E12">
        <f t="shared" si="0"/>
        <v>48.4</v>
      </c>
      <c r="F12">
        <f t="shared" si="1"/>
        <v>0.51600000000000001</v>
      </c>
      <c r="G12" s="1">
        <f t="shared" si="2"/>
        <v>0.48399999999999999</v>
      </c>
      <c r="H12" s="1">
        <v>334</v>
      </c>
      <c r="I12" s="1">
        <f t="shared" si="3"/>
        <v>172.34399999999999</v>
      </c>
      <c r="J12" s="1">
        <f t="shared" si="4"/>
        <v>161.65600000000001</v>
      </c>
    </row>
    <row r="13" spans="1:10" x14ac:dyDescent="0.35">
      <c r="A13" t="s">
        <v>264</v>
      </c>
      <c r="B13" t="s">
        <v>14</v>
      </c>
      <c r="C13" t="s">
        <v>17</v>
      </c>
      <c r="D13">
        <v>49.8</v>
      </c>
      <c r="E13">
        <f t="shared" si="0"/>
        <v>50.2</v>
      </c>
      <c r="F13">
        <f t="shared" si="1"/>
        <v>0.498</v>
      </c>
      <c r="G13" s="1">
        <f t="shared" si="2"/>
        <v>0.502</v>
      </c>
      <c r="H13" s="1">
        <v>25</v>
      </c>
      <c r="I13" s="1">
        <f t="shared" si="3"/>
        <v>12.45</v>
      </c>
      <c r="J13" s="1">
        <f t="shared" si="4"/>
        <v>12.55</v>
      </c>
    </row>
    <row r="14" spans="1:10" x14ac:dyDescent="0.35">
      <c r="A14" t="s">
        <v>265</v>
      </c>
      <c r="B14" t="s">
        <v>14</v>
      </c>
      <c r="C14" t="s">
        <v>17</v>
      </c>
      <c r="D14">
        <v>49.8</v>
      </c>
      <c r="E14">
        <f t="shared" si="0"/>
        <v>50.2</v>
      </c>
      <c r="F14">
        <f t="shared" si="1"/>
        <v>0.498</v>
      </c>
      <c r="G14" s="1">
        <f t="shared" si="2"/>
        <v>0.502</v>
      </c>
      <c r="H14" s="1">
        <v>15</v>
      </c>
      <c r="I14" s="1">
        <f t="shared" si="3"/>
        <v>7.47</v>
      </c>
      <c r="J14" s="1">
        <f t="shared" si="4"/>
        <v>7.53</v>
      </c>
    </row>
    <row r="15" spans="1:10" x14ac:dyDescent="0.35">
      <c r="A15" t="s">
        <v>132</v>
      </c>
      <c r="B15" t="s">
        <v>12</v>
      </c>
      <c r="C15" t="s">
        <v>17</v>
      </c>
      <c r="D15">
        <v>48</v>
      </c>
      <c r="E15">
        <f t="shared" si="0"/>
        <v>52</v>
      </c>
      <c r="F15">
        <f t="shared" si="1"/>
        <v>0.48</v>
      </c>
      <c r="G15" s="1">
        <f t="shared" si="2"/>
        <v>0.52</v>
      </c>
      <c r="H15" s="1">
        <v>3478</v>
      </c>
      <c r="I15" s="1">
        <f t="shared" si="3"/>
        <v>1669.4399999999998</v>
      </c>
      <c r="J15" s="1">
        <f t="shared" si="4"/>
        <v>1808.5600000000002</v>
      </c>
    </row>
    <row r="16" spans="1:10" x14ac:dyDescent="0.35">
      <c r="A16" t="s">
        <v>254</v>
      </c>
      <c r="B16" t="s">
        <v>10</v>
      </c>
      <c r="C16" t="s">
        <v>9</v>
      </c>
      <c r="D16">
        <v>39.5</v>
      </c>
      <c r="E16">
        <f t="shared" si="0"/>
        <v>60.5</v>
      </c>
      <c r="F16">
        <f t="shared" si="1"/>
        <v>0.39500000000000002</v>
      </c>
      <c r="G16" s="1">
        <f t="shared" si="2"/>
        <v>0.60499999999999998</v>
      </c>
      <c r="H16" s="1">
        <v>1189</v>
      </c>
      <c r="I16" s="1">
        <f t="shared" si="3"/>
        <v>469.65500000000003</v>
      </c>
      <c r="J16" s="1">
        <f t="shared" si="4"/>
        <v>719.34500000000003</v>
      </c>
    </row>
    <row r="17" spans="1:10" x14ac:dyDescent="0.35">
      <c r="A17" t="s">
        <v>189</v>
      </c>
      <c r="B17" t="s">
        <v>4</v>
      </c>
      <c r="C17" t="s">
        <v>3</v>
      </c>
      <c r="D17">
        <v>57</v>
      </c>
      <c r="E17">
        <f t="shared" si="0"/>
        <v>43</v>
      </c>
      <c r="F17">
        <f t="shared" si="1"/>
        <v>0.56999999999999995</v>
      </c>
      <c r="G17" s="1">
        <f t="shared" si="2"/>
        <v>0.43</v>
      </c>
      <c r="H17" s="1">
        <v>1624</v>
      </c>
      <c r="I17" s="1">
        <f t="shared" si="3"/>
        <v>925.68</v>
      </c>
      <c r="J17" s="1">
        <f t="shared" si="4"/>
        <v>698.31999999999994</v>
      </c>
    </row>
    <row r="18" spans="1:10" x14ac:dyDescent="0.35">
      <c r="A18" t="s">
        <v>133</v>
      </c>
      <c r="B18" t="s">
        <v>12</v>
      </c>
      <c r="C18" t="s">
        <v>18</v>
      </c>
      <c r="D18">
        <v>53.8</v>
      </c>
      <c r="E18">
        <f t="shared" si="0"/>
        <v>46.2</v>
      </c>
      <c r="F18">
        <f t="shared" si="1"/>
        <v>0.53799999999999992</v>
      </c>
      <c r="G18" s="1">
        <f t="shared" si="2"/>
        <v>0.46200000000000002</v>
      </c>
      <c r="H18" s="1">
        <v>271</v>
      </c>
      <c r="I18" s="1">
        <f t="shared" si="3"/>
        <v>145.79799999999997</v>
      </c>
      <c r="J18" s="1">
        <f t="shared" si="4"/>
        <v>125.20200000000001</v>
      </c>
    </row>
    <row r="19" spans="1:10" x14ac:dyDescent="0.35">
      <c r="A19" t="s">
        <v>208</v>
      </c>
      <c r="B19" t="s">
        <v>20</v>
      </c>
      <c r="C19" t="s">
        <v>19</v>
      </c>
      <c r="D19">
        <v>96.7</v>
      </c>
      <c r="E19">
        <f t="shared" si="0"/>
        <v>3.2999999999999972</v>
      </c>
      <c r="F19">
        <f t="shared" si="1"/>
        <v>0.96700000000000008</v>
      </c>
      <c r="G19" s="1">
        <f t="shared" si="2"/>
        <v>3.2999999999999974E-2</v>
      </c>
      <c r="H19" s="5">
        <v>669</v>
      </c>
      <c r="I19" s="1">
        <f t="shared" si="3"/>
        <v>646.923</v>
      </c>
      <c r="J19" s="1">
        <f t="shared" si="4"/>
        <v>22.076999999999984</v>
      </c>
    </row>
    <row r="20" spans="1:10" x14ac:dyDescent="0.35">
      <c r="A20" t="s">
        <v>300</v>
      </c>
      <c r="B20" t="s">
        <v>22</v>
      </c>
      <c r="C20" t="s">
        <v>21</v>
      </c>
      <c r="D20">
        <v>65.5</v>
      </c>
      <c r="E20">
        <f t="shared" si="0"/>
        <v>34.5</v>
      </c>
      <c r="F20">
        <f t="shared" si="1"/>
        <v>0.65500000000000003</v>
      </c>
      <c r="G20" s="1">
        <f t="shared" si="2"/>
        <v>0.34499999999999997</v>
      </c>
      <c r="H20" s="1">
        <v>233</v>
      </c>
      <c r="I20" s="1">
        <f t="shared" si="3"/>
        <v>152.61500000000001</v>
      </c>
      <c r="J20" s="1">
        <f t="shared" si="4"/>
        <v>80.384999999999991</v>
      </c>
    </row>
    <row r="21" spans="1:10" x14ac:dyDescent="0.35">
      <c r="A21" t="s">
        <v>190</v>
      </c>
      <c r="B21" t="s">
        <v>4</v>
      </c>
      <c r="C21" t="s">
        <v>17</v>
      </c>
      <c r="D21">
        <v>54</v>
      </c>
      <c r="E21">
        <f t="shared" si="0"/>
        <v>46</v>
      </c>
      <c r="F21">
        <f t="shared" si="1"/>
        <v>0.54</v>
      </c>
      <c r="G21" s="1">
        <f t="shared" si="2"/>
        <v>0.46</v>
      </c>
      <c r="H21" s="1">
        <v>9638</v>
      </c>
      <c r="I21" s="1">
        <f t="shared" si="3"/>
        <v>5204.5200000000004</v>
      </c>
      <c r="J21" s="1">
        <f t="shared" si="4"/>
        <v>4433.4800000000005</v>
      </c>
    </row>
    <row r="22" spans="1:10" x14ac:dyDescent="0.35">
      <c r="A22" t="s">
        <v>294</v>
      </c>
      <c r="B22" t="s">
        <v>24</v>
      </c>
      <c r="C22" t="s">
        <v>23</v>
      </c>
      <c r="D22">
        <v>28.4</v>
      </c>
      <c r="E22">
        <f t="shared" si="0"/>
        <v>71.599999999999994</v>
      </c>
      <c r="F22">
        <f t="shared" si="1"/>
        <v>0.28399999999999997</v>
      </c>
      <c r="G22" s="1">
        <f t="shared" si="2"/>
        <v>0.71599999999999997</v>
      </c>
      <c r="H22" s="1">
        <v>149</v>
      </c>
      <c r="I22" s="1">
        <f t="shared" si="3"/>
        <v>42.315999999999995</v>
      </c>
      <c r="J22" s="1">
        <f t="shared" si="4"/>
        <v>106.684</v>
      </c>
    </row>
    <row r="23" spans="1:10" x14ac:dyDescent="0.35">
      <c r="A23" t="s">
        <v>221</v>
      </c>
      <c r="B23" t="s">
        <v>26</v>
      </c>
      <c r="C23" t="s">
        <v>25</v>
      </c>
      <c r="D23">
        <v>86.5</v>
      </c>
      <c r="E23">
        <f t="shared" si="0"/>
        <v>13.5</v>
      </c>
      <c r="F23">
        <f t="shared" si="1"/>
        <v>0.86499999999999999</v>
      </c>
      <c r="G23" s="1">
        <f t="shared" si="2"/>
        <v>0.13500000000000001</v>
      </c>
      <c r="H23" s="1">
        <v>327</v>
      </c>
      <c r="I23" s="1">
        <f t="shared" si="3"/>
        <v>282.85500000000002</v>
      </c>
      <c r="J23" s="1">
        <f t="shared" si="4"/>
        <v>44.145000000000003</v>
      </c>
    </row>
    <row r="24" spans="1:10" ht="15" thickBot="1" x14ac:dyDescent="0.4">
      <c r="A24" t="s">
        <v>255</v>
      </c>
      <c r="B24" t="s">
        <v>10</v>
      </c>
      <c r="C24" t="s">
        <v>9</v>
      </c>
      <c r="D24">
        <v>39.5</v>
      </c>
      <c r="E24">
        <f t="shared" si="0"/>
        <v>60.5</v>
      </c>
      <c r="F24">
        <f t="shared" si="1"/>
        <v>0.39500000000000002</v>
      </c>
      <c r="G24" s="1">
        <f t="shared" si="2"/>
        <v>0.60499999999999998</v>
      </c>
      <c r="H24" s="1">
        <v>1189</v>
      </c>
      <c r="I24" s="1">
        <f t="shared" si="3"/>
        <v>469.65500000000003</v>
      </c>
      <c r="J24" s="1">
        <f t="shared" si="4"/>
        <v>719.34500000000003</v>
      </c>
    </row>
    <row r="25" spans="1:10" ht="15" thickBot="1" x14ac:dyDescent="0.4">
      <c r="A25" t="s">
        <v>222</v>
      </c>
      <c r="B25" t="s">
        <v>26</v>
      </c>
      <c r="C25" t="s">
        <v>27</v>
      </c>
      <c r="D25">
        <v>50.8</v>
      </c>
      <c r="E25">
        <f t="shared" si="0"/>
        <v>49.2</v>
      </c>
      <c r="F25">
        <f t="shared" si="1"/>
        <v>0.50800000000000001</v>
      </c>
      <c r="G25" s="1">
        <f t="shared" si="2"/>
        <v>0.49200000000000005</v>
      </c>
      <c r="H25" s="4">
        <v>408</v>
      </c>
      <c r="I25" s="1">
        <f t="shared" si="3"/>
        <v>207.26400000000001</v>
      </c>
      <c r="J25" s="1">
        <f t="shared" si="4"/>
        <v>200.73600000000002</v>
      </c>
    </row>
    <row r="26" spans="1:10" x14ac:dyDescent="0.35">
      <c r="A26" t="s">
        <v>295</v>
      </c>
      <c r="B26" t="s">
        <v>24</v>
      </c>
      <c r="C26" t="s">
        <v>28</v>
      </c>
      <c r="D26">
        <v>92.1</v>
      </c>
      <c r="E26">
        <f t="shared" si="0"/>
        <v>7.9000000000000057</v>
      </c>
      <c r="F26">
        <f t="shared" si="1"/>
        <v>0.92099999999999993</v>
      </c>
      <c r="G26" s="1">
        <f t="shared" si="2"/>
        <v>7.9000000000000056E-2</v>
      </c>
      <c r="H26" s="1">
        <v>717</v>
      </c>
      <c r="I26" s="1">
        <f t="shared" si="3"/>
        <v>660.35699999999997</v>
      </c>
      <c r="J26" s="1">
        <f t="shared" si="4"/>
        <v>56.643000000000043</v>
      </c>
    </row>
    <row r="27" spans="1:10" x14ac:dyDescent="0.35">
      <c r="A27" t="s">
        <v>266</v>
      </c>
      <c r="B27" t="s">
        <v>14</v>
      </c>
      <c r="C27" t="s">
        <v>29</v>
      </c>
      <c r="D27">
        <v>55</v>
      </c>
      <c r="E27">
        <f t="shared" si="0"/>
        <v>45</v>
      </c>
      <c r="F27">
        <f t="shared" si="1"/>
        <v>0.55000000000000004</v>
      </c>
      <c r="G27" s="1">
        <f t="shared" si="2"/>
        <v>0.45</v>
      </c>
      <c r="H27" s="1">
        <v>118</v>
      </c>
      <c r="I27" s="1">
        <f t="shared" si="3"/>
        <v>64.900000000000006</v>
      </c>
      <c r="J27" s="1">
        <f t="shared" si="4"/>
        <v>53.1</v>
      </c>
    </row>
    <row r="28" spans="1:10" x14ac:dyDescent="0.35">
      <c r="A28" t="s">
        <v>301</v>
      </c>
      <c r="B28" t="s">
        <v>22</v>
      </c>
      <c r="C28" t="s">
        <v>30</v>
      </c>
      <c r="D28">
        <v>20.8</v>
      </c>
      <c r="E28">
        <f t="shared" si="0"/>
        <v>79.2</v>
      </c>
      <c r="F28">
        <f t="shared" si="1"/>
        <v>0.20800000000000002</v>
      </c>
      <c r="G28" s="1">
        <f t="shared" si="2"/>
        <v>0.79200000000000004</v>
      </c>
      <c r="H28" s="1">
        <v>361</v>
      </c>
      <c r="I28" s="1">
        <f t="shared" si="3"/>
        <v>75.088000000000008</v>
      </c>
      <c r="J28" s="1">
        <f t="shared" si="4"/>
        <v>285.91200000000003</v>
      </c>
    </row>
    <row r="29" spans="1:10" x14ac:dyDescent="0.35">
      <c r="A29" t="s">
        <v>308</v>
      </c>
      <c r="B29" t="s">
        <v>32</v>
      </c>
      <c r="C29" t="s">
        <v>31</v>
      </c>
      <c r="D29">
        <v>45.7</v>
      </c>
      <c r="E29">
        <f t="shared" si="0"/>
        <v>54.3</v>
      </c>
      <c r="F29">
        <f t="shared" si="1"/>
        <v>0.45700000000000002</v>
      </c>
      <c r="G29" s="1">
        <f t="shared" si="2"/>
        <v>0.54299999999999993</v>
      </c>
      <c r="H29" s="1">
        <v>137</v>
      </c>
      <c r="I29" s="1">
        <f t="shared" si="3"/>
        <v>62.609000000000002</v>
      </c>
      <c r="J29" s="1">
        <f t="shared" si="4"/>
        <v>74.390999999999991</v>
      </c>
    </row>
    <row r="30" spans="1:10" x14ac:dyDescent="0.35">
      <c r="A30" t="s">
        <v>191</v>
      </c>
      <c r="B30" t="s">
        <v>4</v>
      </c>
      <c r="C30" t="s">
        <v>3</v>
      </c>
      <c r="D30">
        <v>57</v>
      </c>
      <c r="E30">
        <f t="shared" si="0"/>
        <v>43</v>
      </c>
      <c r="F30">
        <f t="shared" si="1"/>
        <v>0.56999999999999995</v>
      </c>
      <c r="G30" s="1">
        <f t="shared" si="2"/>
        <v>0.43</v>
      </c>
      <c r="H30" s="1">
        <v>1624</v>
      </c>
      <c r="I30" s="1">
        <f t="shared" si="3"/>
        <v>925.68</v>
      </c>
      <c r="J30" s="1">
        <f t="shared" si="4"/>
        <v>698.31999999999994</v>
      </c>
    </row>
    <row r="31" spans="1:10" x14ac:dyDescent="0.35">
      <c r="A31" t="s">
        <v>134</v>
      </c>
      <c r="B31" t="s">
        <v>12</v>
      </c>
      <c r="C31" t="s">
        <v>17</v>
      </c>
      <c r="D31">
        <v>48</v>
      </c>
      <c r="E31">
        <f t="shared" si="0"/>
        <v>52</v>
      </c>
      <c r="F31">
        <f t="shared" si="1"/>
        <v>0.48</v>
      </c>
      <c r="G31" s="1">
        <f t="shared" si="2"/>
        <v>0.52</v>
      </c>
      <c r="H31" s="1">
        <v>3478</v>
      </c>
      <c r="I31" s="1">
        <f t="shared" si="3"/>
        <v>1669.4399999999998</v>
      </c>
      <c r="J31" s="1">
        <f t="shared" si="4"/>
        <v>1808.5600000000002</v>
      </c>
    </row>
    <row r="32" spans="1:10" x14ac:dyDescent="0.35">
      <c r="A32" t="s">
        <v>223</v>
      </c>
      <c r="B32" t="s">
        <v>26</v>
      </c>
      <c r="C32" t="s">
        <v>35</v>
      </c>
      <c r="D32">
        <v>58.7</v>
      </c>
      <c r="E32">
        <f t="shared" si="0"/>
        <v>41.3</v>
      </c>
      <c r="F32">
        <f t="shared" si="1"/>
        <v>0.58700000000000008</v>
      </c>
      <c r="G32" s="1">
        <f t="shared" si="2"/>
        <v>0.41299999999999998</v>
      </c>
      <c r="H32" s="1">
        <v>933</v>
      </c>
      <c r="I32" s="1">
        <f t="shared" si="3"/>
        <v>547.67100000000005</v>
      </c>
      <c r="J32" s="1">
        <f t="shared" si="4"/>
        <v>385.32900000000001</v>
      </c>
    </row>
    <row r="33" spans="1:10" x14ac:dyDescent="0.35">
      <c r="A33" t="s">
        <v>135</v>
      </c>
      <c r="B33" t="s">
        <v>12</v>
      </c>
      <c r="C33" t="s">
        <v>37</v>
      </c>
      <c r="D33">
        <v>12.2</v>
      </c>
      <c r="E33">
        <f t="shared" si="0"/>
        <v>87.8</v>
      </c>
      <c r="F33">
        <f t="shared" si="1"/>
        <v>0.122</v>
      </c>
      <c r="G33" s="1">
        <f t="shared" si="2"/>
        <v>0.878</v>
      </c>
      <c r="H33" s="1">
        <v>27</v>
      </c>
      <c r="I33" s="1">
        <f t="shared" si="3"/>
        <v>3.294</v>
      </c>
      <c r="J33" s="1">
        <f t="shared" si="4"/>
        <v>23.706</v>
      </c>
    </row>
    <row r="34" spans="1:10" x14ac:dyDescent="0.35">
      <c r="A34" t="s">
        <v>286</v>
      </c>
      <c r="B34" t="s">
        <v>40</v>
      </c>
      <c r="C34" t="s">
        <v>39</v>
      </c>
      <c r="D34">
        <v>57.7</v>
      </c>
      <c r="E34">
        <f t="shared" si="0"/>
        <v>42.3</v>
      </c>
      <c r="F34">
        <f t="shared" si="1"/>
        <v>0.57700000000000007</v>
      </c>
      <c r="G34" s="1">
        <f t="shared" si="2"/>
        <v>0.42299999999999999</v>
      </c>
      <c r="H34" s="1">
        <v>128</v>
      </c>
      <c r="I34" s="1">
        <f t="shared" si="3"/>
        <v>73.856000000000009</v>
      </c>
      <c r="J34" s="1">
        <f t="shared" si="4"/>
        <v>54.143999999999998</v>
      </c>
    </row>
    <row r="35" spans="1:10" x14ac:dyDescent="0.35">
      <c r="A35" t="s">
        <v>204</v>
      </c>
      <c r="B35" t="s">
        <v>42</v>
      </c>
      <c r="C35" t="s">
        <v>41</v>
      </c>
      <c r="D35">
        <v>4.5</v>
      </c>
      <c r="E35">
        <f t="shared" si="0"/>
        <v>95.5</v>
      </c>
      <c r="F35">
        <f t="shared" si="1"/>
        <v>4.4999999999999998E-2</v>
      </c>
      <c r="G35" s="1">
        <f t="shared" si="2"/>
        <v>0.95499999999999996</v>
      </c>
      <c r="H35" s="1">
        <v>2223</v>
      </c>
      <c r="I35" s="1">
        <f t="shared" si="3"/>
        <v>100.035</v>
      </c>
      <c r="J35" s="1">
        <f t="shared" si="4"/>
        <v>2122.9649999999997</v>
      </c>
    </row>
    <row r="36" spans="1:10" x14ac:dyDescent="0.35">
      <c r="A36" t="s">
        <v>346</v>
      </c>
      <c r="B36" t="s">
        <v>44</v>
      </c>
      <c r="C36" t="s">
        <v>43</v>
      </c>
      <c r="D36">
        <v>37.200000000000003</v>
      </c>
      <c r="E36">
        <f t="shared" si="0"/>
        <v>62.8</v>
      </c>
      <c r="F36">
        <f t="shared" si="1"/>
        <v>0.37200000000000005</v>
      </c>
      <c r="G36" s="1">
        <f t="shared" si="2"/>
        <v>0.628</v>
      </c>
      <c r="H36" s="1">
        <v>284</v>
      </c>
      <c r="I36" s="1">
        <f t="shared" si="3"/>
        <v>105.64800000000001</v>
      </c>
      <c r="J36" s="1">
        <f t="shared" si="4"/>
        <v>178.352</v>
      </c>
    </row>
    <row r="37" spans="1:10" x14ac:dyDescent="0.35">
      <c r="A37" t="s">
        <v>302</v>
      </c>
      <c r="B37" t="s">
        <v>22</v>
      </c>
      <c r="C37" t="s">
        <v>34</v>
      </c>
      <c r="D37">
        <v>27.6</v>
      </c>
      <c r="E37">
        <f t="shared" si="0"/>
        <v>72.400000000000006</v>
      </c>
      <c r="F37">
        <f t="shared" si="1"/>
        <v>0.27600000000000002</v>
      </c>
      <c r="G37" s="1">
        <f t="shared" si="2"/>
        <v>0.72400000000000009</v>
      </c>
      <c r="H37" s="1">
        <v>243</v>
      </c>
      <c r="I37" s="1">
        <f t="shared" si="3"/>
        <v>67.068000000000012</v>
      </c>
      <c r="J37" s="1">
        <f t="shared" si="4"/>
        <v>175.93200000000002</v>
      </c>
    </row>
    <row r="38" spans="1:10" x14ac:dyDescent="0.35">
      <c r="A38" t="s">
        <v>334</v>
      </c>
      <c r="B38" t="s">
        <v>12</v>
      </c>
      <c r="C38" t="s">
        <v>38</v>
      </c>
      <c r="D38">
        <v>18.8</v>
      </c>
      <c r="E38">
        <f t="shared" si="0"/>
        <v>81.2</v>
      </c>
      <c r="F38">
        <f t="shared" si="1"/>
        <v>0.188</v>
      </c>
      <c r="G38" s="1">
        <f t="shared" si="2"/>
        <v>0.81200000000000006</v>
      </c>
      <c r="H38" s="1">
        <v>148</v>
      </c>
      <c r="I38" s="1">
        <f t="shared" si="3"/>
        <v>27.824000000000002</v>
      </c>
      <c r="J38" s="1">
        <f t="shared" si="4"/>
        <v>120.176</v>
      </c>
    </row>
    <row r="39" spans="1:10" x14ac:dyDescent="0.35">
      <c r="A39" t="s">
        <v>323</v>
      </c>
      <c r="B39" t="s">
        <v>44</v>
      </c>
      <c r="C39" t="s">
        <v>17</v>
      </c>
      <c r="D39">
        <v>21.4</v>
      </c>
      <c r="E39">
        <f t="shared" si="0"/>
        <v>78.599999999999994</v>
      </c>
      <c r="F39">
        <f t="shared" si="1"/>
        <v>0.214</v>
      </c>
      <c r="G39" s="1">
        <f t="shared" si="2"/>
        <v>0.78599999999999992</v>
      </c>
      <c r="H39" s="1">
        <v>11706</v>
      </c>
      <c r="I39" s="1">
        <f t="shared" si="3"/>
        <v>2505.0839999999998</v>
      </c>
      <c r="J39" s="1">
        <f t="shared" si="4"/>
        <v>9200.9159999999993</v>
      </c>
    </row>
    <row r="40" spans="1:10" x14ac:dyDescent="0.35">
      <c r="A40" t="s">
        <v>226</v>
      </c>
      <c r="B40" t="s">
        <v>46</v>
      </c>
      <c r="C40" t="s">
        <v>45</v>
      </c>
      <c r="D40">
        <v>45.5</v>
      </c>
      <c r="E40">
        <f t="shared" si="0"/>
        <v>54.5</v>
      </c>
      <c r="F40">
        <f t="shared" si="1"/>
        <v>0.45500000000000002</v>
      </c>
      <c r="G40" s="1">
        <f t="shared" si="2"/>
        <v>0.54500000000000004</v>
      </c>
      <c r="H40" s="1">
        <v>903</v>
      </c>
      <c r="I40" s="1">
        <f t="shared" si="3"/>
        <v>410.86500000000001</v>
      </c>
      <c r="J40" s="1">
        <f t="shared" si="4"/>
        <v>492.13500000000005</v>
      </c>
    </row>
    <row r="41" spans="1:10" x14ac:dyDescent="0.35">
      <c r="A41" t="s">
        <v>246</v>
      </c>
      <c r="B41" t="s">
        <v>48</v>
      </c>
      <c r="C41" t="s">
        <v>47</v>
      </c>
      <c r="D41">
        <v>79.8</v>
      </c>
      <c r="E41">
        <f t="shared" si="0"/>
        <v>20.200000000000003</v>
      </c>
      <c r="F41">
        <f t="shared" si="1"/>
        <v>0.79799999999999993</v>
      </c>
      <c r="G41" s="1">
        <f t="shared" si="2"/>
        <v>0.20200000000000004</v>
      </c>
      <c r="H41" s="1">
        <v>1521</v>
      </c>
      <c r="I41" s="1">
        <f t="shared" si="3"/>
        <v>1213.7579999999998</v>
      </c>
      <c r="J41" s="1">
        <f t="shared" si="4"/>
        <v>307.24200000000008</v>
      </c>
    </row>
    <row r="42" spans="1:10" x14ac:dyDescent="0.35">
      <c r="A42" t="s">
        <v>205</v>
      </c>
      <c r="B42" t="s">
        <v>42</v>
      </c>
      <c r="C42" t="s">
        <v>49</v>
      </c>
      <c r="D42">
        <v>3.1</v>
      </c>
      <c r="E42">
        <f t="shared" si="0"/>
        <v>96.9</v>
      </c>
      <c r="F42">
        <f t="shared" si="1"/>
        <v>3.1E-2</v>
      </c>
      <c r="G42" s="1">
        <f t="shared" si="2"/>
        <v>0.96900000000000008</v>
      </c>
      <c r="H42" s="1">
        <v>1275</v>
      </c>
      <c r="I42" s="1">
        <f t="shared" si="3"/>
        <v>39.524999999999999</v>
      </c>
      <c r="J42" s="1">
        <f t="shared" si="4"/>
        <v>1235.4750000000001</v>
      </c>
    </row>
    <row r="43" spans="1:10" x14ac:dyDescent="0.35">
      <c r="A43" t="s">
        <v>136</v>
      </c>
      <c r="B43" t="s">
        <v>12</v>
      </c>
      <c r="C43" t="s">
        <v>11</v>
      </c>
      <c r="D43">
        <v>51.6</v>
      </c>
      <c r="E43">
        <f t="shared" si="0"/>
        <v>48.4</v>
      </c>
      <c r="F43">
        <f t="shared" si="1"/>
        <v>0.51600000000000001</v>
      </c>
      <c r="G43" s="1">
        <f t="shared" si="2"/>
        <v>0.48399999999999999</v>
      </c>
      <c r="H43" s="1">
        <v>334</v>
      </c>
      <c r="I43" s="1">
        <f t="shared" si="3"/>
        <v>172.34399999999999</v>
      </c>
      <c r="J43" s="1">
        <f t="shared" si="4"/>
        <v>161.65600000000001</v>
      </c>
    </row>
    <row r="44" spans="1:10" x14ac:dyDescent="0.35">
      <c r="A44" t="s">
        <v>316</v>
      </c>
      <c r="B44" t="s">
        <v>51</v>
      </c>
      <c r="C44" t="s">
        <v>50</v>
      </c>
      <c r="D44">
        <v>69.8</v>
      </c>
      <c r="E44">
        <f t="shared" si="0"/>
        <v>30.200000000000003</v>
      </c>
      <c r="F44">
        <f t="shared" si="1"/>
        <v>0.69799999999999995</v>
      </c>
      <c r="G44" s="1">
        <f t="shared" si="2"/>
        <v>0.30200000000000005</v>
      </c>
      <c r="H44" s="1">
        <v>2576</v>
      </c>
      <c r="I44" s="1">
        <f t="shared" si="3"/>
        <v>1798.0479999999998</v>
      </c>
      <c r="J44" s="1">
        <f t="shared" si="4"/>
        <v>777.95200000000011</v>
      </c>
    </row>
    <row r="45" spans="1:10" x14ac:dyDescent="0.35">
      <c r="A45" t="s">
        <v>137</v>
      </c>
      <c r="B45" t="s">
        <v>12</v>
      </c>
      <c r="C45" t="s">
        <v>52</v>
      </c>
      <c r="D45">
        <v>27.1</v>
      </c>
      <c r="E45">
        <f t="shared" si="0"/>
        <v>72.900000000000006</v>
      </c>
      <c r="F45">
        <f t="shared" si="1"/>
        <v>0.27100000000000002</v>
      </c>
      <c r="G45" s="1">
        <f t="shared" si="2"/>
        <v>0.72900000000000009</v>
      </c>
      <c r="H45" s="1">
        <v>170</v>
      </c>
      <c r="I45" s="1">
        <f t="shared" si="3"/>
        <v>46.07</v>
      </c>
      <c r="J45" s="1">
        <f t="shared" si="4"/>
        <v>123.93000000000002</v>
      </c>
    </row>
    <row r="46" spans="1:10" x14ac:dyDescent="0.35">
      <c r="A46" t="s">
        <v>224</v>
      </c>
      <c r="B46" t="s">
        <v>26</v>
      </c>
      <c r="C46" t="s">
        <v>53</v>
      </c>
      <c r="D46">
        <v>23.3</v>
      </c>
      <c r="E46">
        <f t="shared" si="0"/>
        <v>76.7</v>
      </c>
      <c r="F46">
        <f t="shared" si="1"/>
        <v>0.23300000000000001</v>
      </c>
      <c r="G46" s="1">
        <f t="shared" si="2"/>
        <v>0.76700000000000002</v>
      </c>
      <c r="H46" s="1">
        <v>476</v>
      </c>
      <c r="I46" s="1">
        <f t="shared" si="3"/>
        <v>110.908</v>
      </c>
      <c r="J46" s="1">
        <f t="shared" si="4"/>
        <v>365.09199999999998</v>
      </c>
    </row>
    <row r="47" spans="1:10" x14ac:dyDescent="0.35">
      <c r="A47" t="s">
        <v>267</v>
      </c>
      <c r="B47" t="s">
        <v>14</v>
      </c>
      <c r="C47" t="s">
        <v>54</v>
      </c>
      <c r="D47">
        <v>36</v>
      </c>
      <c r="E47">
        <f t="shared" si="0"/>
        <v>64</v>
      </c>
      <c r="F47">
        <f t="shared" si="1"/>
        <v>0.36</v>
      </c>
      <c r="G47" s="1">
        <f t="shared" si="2"/>
        <v>0.64</v>
      </c>
      <c r="H47" s="1">
        <v>93</v>
      </c>
      <c r="I47" s="1">
        <f t="shared" si="3"/>
        <v>33.479999999999997</v>
      </c>
      <c r="J47" s="1">
        <f t="shared" si="4"/>
        <v>59.52</v>
      </c>
    </row>
    <row r="48" spans="1:10" x14ac:dyDescent="0.35">
      <c r="A48" t="s">
        <v>138</v>
      </c>
      <c r="B48" t="s">
        <v>12</v>
      </c>
      <c r="C48" t="s">
        <v>17</v>
      </c>
      <c r="D48">
        <v>48</v>
      </c>
      <c r="E48">
        <f t="shared" si="0"/>
        <v>52</v>
      </c>
      <c r="F48">
        <f t="shared" si="1"/>
        <v>0.48</v>
      </c>
      <c r="G48" s="1">
        <f t="shared" si="2"/>
        <v>0.52</v>
      </c>
      <c r="H48" s="1">
        <v>3478</v>
      </c>
      <c r="I48" s="1">
        <f t="shared" si="3"/>
        <v>1669.4399999999998</v>
      </c>
      <c r="J48" s="1">
        <f t="shared" si="4"/>
        <v>1808.5600000000002</v>
      </c>
    </row>
    <row r="49" spans="1:10" x14ac:dyDescent="0.35">
      <c r="A49" t="s">
        <v>139</v>
      </c>
      <c r="B49" t="s">
        <v>12</v>
      </c>
      <c r="C49" t="s">
        <v>36</v>
      </c>
      <c r="D49">
        <v>43.6</v>
      </c>
      <c r="E49">
        <f t="shared" si="0"/>
        <v>56.4</v>
      </c>
      <c r="F49">
        <f t="shared" si="1"/>
        <v>0.436</v>
      </c>
      <c r="G49" s="1">
        <f t="shared" si="2"/>
        <v>0.56399999999999995</v>
      </c>
      <c r="H49" s="1">
        <v>167</v>
      </c>
      <c r="I49" s="1">
        <f t="shared" si="3"/>
        <v>72.811999999999998</v>
      </c>
      <c r="J49" s="1">
        <f t="shared" si="4"/>
        <v>94.187999999999988</v>
      </c>
    </row>
    <row r="50" spans="1:10" x14ac:dyDescent="0.35">
      <c r="A50" t="s">
        <v>186</v>
      </c>
      <c r="B50" t="s">
        <v>56</v>
      </c>
      <c r="C50" t="s">
        <v>17</v>
      </c>
      <c r="D50">
        <v>42.1</v>
      </c>
      <c r="E50">
        <f t="shared" si="0"/>
        <v>57.9</v>
      </c>
      <c r="F50">
        <f t="shared" si="1"/>
        <v>0.42100000000000004</v>
      </c>
      <c r="G50" s="1">
        <f t="shared" si="2"/>
        <v>0.57899999999999996</v>
      </c>
      <c r="H50" s="1">
        <v>5534</v>
      </c>
      <c r="I50" s="1">
        <f t="shared" si="3"/>
        <v>2329.8140000000003</v>
      </c>
      <c r="J50" s="1">
        <f t="shared" si="4"/>
        <v>3204.1859999999997</v>
      </c>
    </row>
    <row r="51" spans="1:10" x14ac:dyDescent="0.35">
      <c r="A51" t="s">
        <v>287</v>
      </c>
      <c r="B51" t="s">
        <v>40</v>
      </c>
      <c r="C51" t="s">
        <v>17</v>
      </c>
      <c r="D51">
        <v>71.2</v>
      </c>
      <c r="E51">
        <f t="shared" si="0"/>
        <v>28.799999999999997</v>
      </c>
      <c r="F51">
        <f t="shared" si="1"/>
        <v>0.71200000000000008</v>
      </c>
      <c r="G51" s="1">
        <f t="shared" si="2"/>
        <v>0.28799999999999998</v>
      </c>
      <c r="H51" s="1">
        <v>15954</v>
      </c>
      <c r="I51" s="1">
        <f t="shared" si="3"/>
        <v>11359.248000000001</v>
      </c>
      <c r="J51" s="1">
        <f t="shared" si="4"/>
        <v>4594.7519999999995</v>
      </c>
    </row>
    <row r="52" spans="1:10" x14ac:dyDescent="0.35">
      <c r="A52" t="s">
        <v>140</v>
      </c>
      <c r="B52" t="s">
        <v>12</v>
      </c>
      <c r="C52" t="s">
        <v>18</v>
      </c>
      <c r="D52">
        <v>53.8</v>
      </c>
      <c r="E52">
        <f t="shared" si="0"/>
        <v>46.2</v>
      </c>
      <c r="F52">
        <f t="shared" si="1"/>
        <v>0.53799999999999992</v>
      </c>
      <c r="G52" s="1">
        <f t="shared" si="2"/>
        <v>0.46200000000000002</v>
      </c>
      <c r="H52" s="1">
        <v>271</v>
      </c>
      <c r="I52" s="1">
        <f t="shared" si="3"/>
        <v>145.79799999999997</v>
      </c>
      <c r="J52" s="1">
        <f t="shared" si="4"/>
        <v>125.20200000000001</v>
      </c>
    </row>
    <row r="53" spans="1:10" x14ac:dyDescent="0.35">
      <c r="A53" t="s">
        <v>141</v>
      </c>
      <c r="B53" t="s">
        <v>12</v>
      </c>
      <c r="C53" t="s">
        <v>17</v>
      </c>
      <c r="D53">
        <v>48</v>
      </c>
      <c r="E53">
        <f t="shared" si="0"/>
        <v>52</v>
      </c>
      <c r="F53">
        <f t="shared" si="1"/>
        <v>0.48</v>
      </c>
      <c r="G53" s="1">
        <f t="shared" si="2"/>
        <v>0.52</v>
      </c>
      <c r="H53" s="1">
        <v>3478</v>
      </c>
      <c r="I53" s="1">
        <f t="shared" si="3"/>
        <v>1669.4399999999998</v>
      </c>
      <c r="J53" s="1">
        <f t="shared" si="4"/>
        <v>1808.5600000000002</v>
      </c>
    </row>
    <row r="54" spans="1:10" x14ac:dyDescent="0.35">
      <c r="A54" t="s">
        <v>142</v>
      </c>
      <c r="B54" t="s">
        <v>12</v>
      </c>
      <c r="C54" t="s">
        <v>17</v>
      </c>
      <c r="D54">
        <v>48</v>
      </c>
      <c r="E54">
        <f t="shared" si="0"/>
        <v>52</v>
      </c>
      <c r="F54">
        <f t="shared" si="1"/>
        <v>0.48</v>
      </c>
      <c r="G54" s="1">
        <f t="shared" si="2"/>
        <v>0.52</v>
      </c>
      <c r="H54" s="1">
        <v>3478</v>
      </c>
      <c r="I54" s="1">
        <f t="shared" si="3"/>
        <v>1669.4399999999998</v>
      </c>
      <c r="J54" s="1">
        <f t="shared" si="4"/>
        <v>1808.5600000000002</v>
      </c>
    </row>
    <row r="55" spans="1:10" x14ac:dyDescent="0.35">
      <c r="A55" t="s">
        <v>143</v>
      </c>
      <c r="B55" t="s">
        <v>12</v>
      </c>
      <c r="C55" t="s">
        <v>17</v>
      </c>
      <c r="D55">
        <v>48</v>
      </c>
      <c r="E55">
        <f t="shared" si="0"/>
        <v>52</v>
      </c>
      <c r="F55">
        <f t="shared" si="1"/>
        <v>0.48</v>
      </c>
      <c r="G55" s="1">
        <f t="shared" si="2"/>
        <v>0.52</v>
      </c>
      <c r="H55" s="1">
        <v>3478</v>
      </c>
      <c r="I55" s="1">
        <f t="shared" si="3"/>
        <v>1669.4399999999998</v>
      </c>
      <c r="J55" s="1">
        <f t="shared" si="4"/>
        <v>1808.5600000000002</v>
      </c>
    </row>
    <row r="56" spans="1:10" x14ac:dyDescent="0.35">
      <c r="A56" t="s">
        <v>144</v>
      </c>
      <c r="B56" t="s">
        <v>12</v>
      </c>
      <c r="C56" t="s">
        <v>17</v>
      </c>
      <c r="D56">
        <v>48</v>
      </c>
      <c r="E56">
        <f t="shared" si="0"/>
        <v>52</v>
      </c>
      <c r="F56">
        <f t="shared" si="1"/>
        <v>0.48</v>
      </c>
      <c r="G56" s="1">
        <f t="shared" si="2"/>
        <v>0.52</v>
      </c>
      <c r="H56" s="1">
        <v>3478</v>
      </c>
      <c r="I56" s="1">
        <f t="shared" si="3"/>
        <v>1669.4399999999998</v>
      </c>
      <c r="J56" s="1">
        <f t="shared" si="4"/>
        <v>1808.5600000000002</v>
      </c>
    </row>
    <row r="57" spans="1:10" x14ac:dyDescent="0.35">
      <c r="A57" t="s">
        <v>145</v>
      </c>
      <c r="B57" t="s">
        <v>12</v>
      </c>
      <c r="C57" t="s">
        <v>17</v>
      </c>
      <c r="D57">
        <v>48</v>
      </c>
      <c r="E57">
        <f t="shared" si="0"/>
        <v>52</v>
      </c>
      <c r="F57">
        <f t="shared" si="1"/>
        <v>0.48</v>
      </c>
      <c r="G57" s="1">
        <f t="shared" si="2"/>
        <v>0.52</v>
      </c>
      <c r="H57" s="1">
        <v>3478</v>
      </c>
      <c r="I57" s="1">
        <f t="shared" si="3"/>
        <v>1669.4399999999998</v>
      </c>
      <c r="J57" s="1">
        <f t="shared" si="4"/>
        <v>1808.5600000000002</v>
      </c>
    </row>
    <row r="58" spans="1:10" x14ac:dyDescent="0.35">
      <c r="A58" t="s">
        <v>309</v>
      </c>
      <c r="B58" t="s">
        <v>32</v>
      </c>
      <c r="C58" t="s">
        <v>57</v>
      </c>
      <c r="D58">
        <v>14.4</v>
      </c>
      <c r="E58">
        <f t="shared" si="0"/>
        <v>85.6</v>
      </c>
      <c r="F58">
        <f t="shared" si="1"/>
        <v>0.14400000000000002</v>
      </c>
      <c r="G58" s="1">
        <f t="shared" si="2"/>
        <v>0.85599999999999998</v>
      </c>
      <c r="H58" s="1">
        <v>702</v>
      </c>
      <c r="I58" s="1">
        <f t="shared" si="3"/>
        <v>101.08800000000001</v>
      </c>
      <c r="J58" s="1">
        <f t="shared" si="4"/>
        <v>600.91200000000003</v>
      </c>
    </row>
    <row r="59" spans="1:10" x14ac:dyDescent="0.35">
      <c r="A59" t="s">
        <v>337</v>
      </c>
      <c r="B59" t="s">
        <v>42</v>
      </c>
      <c r="C59" t="s">
        <v>41</v>
      </c>
      <c r="D59">
        <v>4.5</v>
      </c>
      <c r="E59">
        <f t="shared" si="0"/>
        <v>95.5</v>
      </c>
      <c r="F59">
        <f t="shared" si="1"/>
        <v>4.4999999999999998E-2</v>
      </c>
      <c r="G59" s="1">
        <f t="shared" si="2"/>
        <v>0.95499999999999996</v>
      </c>
      <c r="H59" s="1">
        <v>2223</v>
      </c>
      <c r="I59" s="1">
        <f t="shared" si="3"/>
        <v>100.035</v>
      </c>
      <c r="J59" s="1">
        <f t="shared" si="4"/>
        <v>2122.9649999999997</v>
      </c>
    </row>
    <row r="60" spans="1:10" x14ac:dyDescent="0.35">
      <c r="A60" t="s">
        <v>288</v>
      </c>
      <c r="B60" t="s">
        <v>40</v>
      </c>
      <c r="C60" t="s">
        <v>17</v>
      </c>
      <c r="D60">
        <v>71.2</v>
      </c>
      <c r="E60">
        <f t="shared" si="0"/>
        <v>28.799999999999997</v>
      </c>
      <c r="F60">
        <f t="shared" si="1"/>
        <v>0.71200000000000008</v>
      </c>
      <c r="G60" s="1">
        <f t="shared" si="2"/>
        <v>0.28799999999999998</v>
      </c>
      <c r="H60" s="1">
        <v>15954</v>
      </c>
      <c r="I60" s="1">
        <f t="shared" si="3"/>
        <v>11359.248000000001</v>
      </c>
      <c r="J60" s="1">
        <f t="shared" si="4"/>
        <v>4594.7519999999995</v>
      </c>
    </row>
    <row r="61" spans="1:10" x14ac:dyDescent="0.35">
      <c r="A61" t="s">
        <v>146</v>
      </c>
      <c r="B61" t="s">
        <v>12</v>
      </c>
      <c r="C61" t="s">
        <v>58</v>
      </c>
      <c r="D61">
        <v>51.3</v>
      </c>
      <c r="E61">
        <f t="shared" si="0"/>
        <v>48.7</v>
      </c>
      <c r="F61">
        <f t="shared" si="1"/>
        <v>0.51300000000000001</v>
      </c>
      <c r="G61" s="1">
        <f t="shared" si="2"/>
        <v>0.48700000000000004</v>
      </c>
      <c r="H61" s="3">
        <v>65</v>
      </c>
      <c r="I61" s="1">
        <f t="shared" si="3"/>
        <v>33.344999999999999</v>
      </c>
      <c r="J61" s="1">
        <f t="shared" si="4"/>
        <v>31.655000000000001</v>
      </c>
    </row>
    <row r="62" spans="1:10" x14ac:dyDescent="0.35">
      <c r="A62" t="s">
        <v>198</v>
      </c>
      <c r="B62" t="s">
        <v>8</v>
      </c>
      <c r="C62" t="s">
        <v>7</v>
      </c>
      <c r="D62">
        <v>79.2</v>
      </c>
      <c r="E62">
        <f t="shared" si="0"/>
        <v>20.799999999999997</v>
      </c>
      <c r="F62">
        <f t="shared" si="1"/>
        <v>0.79200000000000004</v>
      </c>
      <c r="G62" s="1">
        <f t="shared" si="2"/>
        <v>0.20799999999999996</v>
      </c>
      <c r="H62" s="1">
        <v>384</v>
      </c>
      <c r="I62" s="1">
        <f t="shared" si="3"/>
        <v>304.12800000000004</v>
      </c>
      <c r="J62" s="1">
        <f t="shared" si="4"/>
        <v>79.871999999999986</v>
      </c>
    </row>
    <row r="63" spans="1:10" x14ac:dyDescent="0.35">
      <c r="A63" t="s">
        <v>199</v>
      </c>
      <c r="B63" t="s">
        <v>8</v>
      </c>
      <c r="C63" t="s">
        <v>7</v>
      </c>
      <c r="D63">
        <v>79.2</v>
      </c>
      <c r="E63">
        <f t="shared" si="0"/>
        <v>20.799999999999997</v>
      </c>
      <c r="F63">
        <f t="shared" si="1"/>
        <v>0.79200000000000004</v>
      </c>
      <c r="G63" s="1">
        <f t="shared" si="2"/>
        <v>0.20799999999999996</v>
      </c>
      <c r="H63" s="1">
        <v>384</v>
      </c>
      <c r="I63" s="1">
        <f t="shared" si="3"/>
        <v>304.12800000000004</v>
      </c>
      <c r="J63" s="1">
        <f t="shared" si="4"/>
        <v>79.871999999999986</v>
      </c>
    </row>
    <row r="64" spans="1:10" x14ac:dyDescent="0.35">
      <c r="A64" t="s">
        <v>209</v>
      </c>
      <c r="B64" t="s">
        <v>20</v>
      </c>
      <c r="C64" t="s">
        <v>59</v>
      </c>
      <c r="D64">
        <v>63.2</v>
      </c>
      <c r="E64">
        <f t="shared" si="0"/>
        <v>36.799999999999997</v>
      </c>
      <c r="F64">
        <f t="shared" si="1"/>
        <v>0.63200000000000001</v>
      </c>
      <c r="G64" s="1">
        <f t="shared" si="2"/>
        <v>0.36799999999999999</v>
      </c>
      <c r="H64" s="1">
        <v>76</v>
      </c>
      <c r="I64" s="1">
        <f t="shared" si="3"/>
        <v>48.032000000000004</v>
      </c>
      <c r="J64" s="1">
        <f t="shared" si="4"/>
        <v>27.968</v>
      </c>
    </row>
    <row r="65" spans="1:10" x14ac:dyDescent="0.35">
      <c r="A65" t="s">
        <v>340</v>
      </c>
      <c r="B65" t="s">
        <v>40</v>
      </c>
      <c r="C65" t="s">
        <v>60</v>
      </c>
      <c r="D65">
        <v>65.3</v>
      </c>
      <c r="E65">
        <f t="shared" si="0"/>
        <v>34.700000000000003</v>
      </c>
      <c r="F65">
        <f t="shared" si="1"/>
        <v>0.65300000000000002</v>
      </c>
      <c r="G65" s="1">
        <f t="shared" si="2"/>
        <v>0.34700000000000003</v>
      </c>
      <c r="H65" s="1">
        <v>2822</v>
      </c>
      <c r="I65" s="1">
        <f t="shared" si="3"/>
        <v>1842.7660000000001</v>
      </c>
      <c r="J65" s="1">
        <f t="shared" si="4"/>
        <v>979.23400000000004</v>
      </c>
    </row>
    <row r="66" spans="1:10" x14ac:dyDescent="0.35">
      <c r="A66" t="s">
        <v>147</v>
      </c>
      <c r="B66" t="s">
        <v>12</v>
      </c>
      <c r="C66" t="s">
        <v>17</v>
      </c>
      <c r="D66">
        <v>48</v>
      </c>
      <c r="E66">
        <f t="shared" ref="E66:E129" si="5">100-D66</f>
        <v>52</v>
      </c>
      <c r="F66">
        <f t="shared" ref="F66:F129" si="6">D66/100</f>
        <v>0.48</v>
      </c>
      <c r="G66" s="1">
        <f t="shared" ref="G66:G129" si="7">E66/100</f>
        <v>0.52</v>
      </c>
      <c r="H66" s="1">
        <v>3478</v>
      </c>
      <c r="I66" s="1">
        <f t="shared" ref="I66:I129" si="8">$H66*F66</f>
        <v>1669.4399999999998</v>
      </c>
      <c r="J66" s="1">
        <f t="shared" ref="J66:J129" si="9">$H66*G66</f>
        <v>1808.5600000000002</v>
      </c>
    </row>
    <row r="67" spans="1:10" ht="15" thickBot="1" x14ac:dyDescent="0.4">
      <c r="A67" t="s">
        <v>227</v>
      </c>
      <c r="B67" t="s">
        <v>46</v>
      </c>
      <c r="C67" t="s">
        <v>61</v>
      </c>
      <c r="D67">
        <v>39.5</v>
      </c>
      <c r="E67">
        <f t="shared" si="5"/>
        <v>60.5</v>
      </c>
      <c r="F67">
        <f t="shared" si="6"/>
        <v>0.39500000000000002</v>
      </c>
      <c r="G67" s="1">
        <f t="shared" si="7"/>
        <v>0.60499999999999998</v>
      </c>
      <c r="H67" s="3">
        <v>164</v>
      </c>
      <c r="I67" s="1">
        <f t="shared" si="8"/>
        <v>64.78</v>
      </c>
      <c r="J67" s="1">
        <f t="shared" si="9"/>
        <v>99.22</v>
      </c>
    </row>
    <row r="68" spans="1:10" ht="15" thickBot="1" x14ac:dyDescent="0.4">
      <c r="A68" t="s">
        <v>228</v>
      </c>
      <c r="B68" t="s">
        <v>46</v>
      </c>
      <c r="C68" t="s">
        <v>45</v>
      </c>
      <c r="D68">
        <v>45.5</v>
      </c>
      <c r="E68">
        <f t="shared" si="5"/>
        <v>54.5</v>
      </c>
      <c r="F68">
        <f t="shared" si="6"/>
        <v>0.45500000000000002</v>
      </c>
      <c r="G68" s="1">
        <f t="shared" si="7"/>
        <v>0.54500000000000004</v>
      </c>
      <c r="H68" s="4">
        <v>903</v>
      </c>
      <c r="I68" s="1">
        <f t="shared" si="8"/>
        <v>410.86500000000001</v>
      </c>
      <c r="J68" s="1">
        <f t="shared" si="9"/>
        <v>492.13500000000005</v>
      </c>
    </row>
    <row r="69" spans="1:10" x14ac:dyDescent="0.35">
      <c r="A69" t="s">
        <v>148</v>
      </c>
      <c r="B69" t="s">
        <v>12</v>
      </c>
      <c r="C69" t="s">
        <v>17</v>
      </c>
      <c r="D69">
        <v>48</v>
      </c>
      <c r="E69">
        <f t="shared" si="5"/>
        <v>52</v>
      </c>
      <c r="F69">
        <f t="shared" si="6"/>
        <v>0.48</v>
      </c>
      <c r="G69" s="1">
        <f t="shared" si="7"/>
        <v>0.52</v>
      </c>
      <c r="H69" s="1">
        <v>3478</v>
      </c>
      <c r="I69" s="1">
        <f t="shared" si="8"/>
        <v>1669.4399999999998</v>
      </c>
      <c r="J69" s="1">
        <f t="shared" si="9"/>
        <v>1808.5600000000002</v>
      </c>
    </row>
    <row r="70" spans="1:10" x14ac:dyDescent="0.35">
      <c r="A70" t="s">
        <v>310</v>
      </c>
      <c r="B70" t="s">
        <v>32</v>
      </c>
      <c r="C70" t="s">
        <v>62</v>
      </c>
      <c r="D70">
        <v>26.3</v>
      </c>
      <c r="E70">
        <f t="shared" si="5"/>
        <v>73.7</v>
      </c>
      <c r="F70">
        <f t="shared" si="6"/>
        <v>0.26300000000000001</v>
      </c>
      <c r="G70" s="1">
        <f t="shared" si="7"/>
        <v>0.73699999999999999</v>
      </c>
      <c r="H70" s="1">
        <v>145</v>
      </c>
      <c r="I70" s="1">
        <f t="shared" si="8"/>
        <v>38.135000000000005</v>
      </c>
      <c r="J70" s="1">
        <f t="shared" si="9"/>
        <v>106.86499999999999</v>
      </c>
    </row>
    <row r="71" spans="1:10" x14ac:dyDescent="0.35">
      <c r="A71" t="s">
        <v>200</v>
      </c>
      <c r="B71" t="s">
        <v>64</v>
      </c>
      <c r="C71" t="s">
        <v>63</v>
      </c>
      <c r="D71">
        <v>20.2</v>
      </c>
      <c r="E71">
        <f t="shared" si="5"/>
        <v>79.8</v>
      </c>
      <c r="F71">
        <f t="shared" si="6"/>
        <v>0.20199999999999999</v>
      </c>
      <c r="G71" s="1">
        <f t="shared" si="7"/>
        <v>0.79799999999999993</v>
      </c>
      <c r="H71" s="1">
        <v>2134</v>
      </c>
      <c r="I71" s="1">
        <f t="shared" si="8"/>
        <v>431.06799999999998</v>
      </c>
      <c r="J71" s="1">
        <f t="shared" si="9"/>
        <v>1702.9319999999998</v>
      </c>
    </row>
    <row r="72" spans="1:10" x14ac:dyDescent="0.35">
      <c r="A72" t="s">
        <v>335</v>
      </c>
      <c r="B72" t="s">
        <v>12</v>
      </c>
      <c r="C72" t="s">
        <v>17</v>
      </c>
      <c r="D72">
        <v>48</v>
      </c>
      <c r="E72">
        <f t="shared" si="5"/>
        <v>52</v>
      </c>
      <c r="F72">
        <f t="shared" si="6"/>
        <v>0.48</v>
      </c>
      <c r="G72" s="1">
        <f t="shared" si="7"/>
        <v>0.52</v>
      </c>
      <c r="H72" s="1">
        <v>3478</v>
      </c>
      <c r="I72" s="1">
        <f t="shared" si="8"/>
        <v>1669.4399999999998</v>
      </c>
      <c r="J72" s="1">
        <f t="shared" si="9"/>
        <v>1808.5600000000002</v>
      </c>
    </row>
    <row r="73" spans="1:10" x14ac:dyDescent="0.35">
      <c r="A73" t="s">
        <v>229</v>
      </c>
      <c r="B73" t="s">
        <v>46</v>
      </c>
      <c r="C73" t="s">
        <v>45</v>
      </c>
      <c r="D73">
        <v>45.5</v>
      </c>
      <c r="E73">
        <f t="shared" si="5"/>
        <v>54.5</v>
      </c>
      <c r="F73">
        <f t="shared" si="6"/>
        <v>0.45500000000000002</v>
      </c>
      <c r="G73" s="1">
        <f t="shared" si="7"/>
        <v>0.54500000000000004</v>
      </c>
      <c r="H73" s="1">
        <v>903</v>
      </c>
      <c r="I73" s="1">
        <f t="shared" si="8"/>
        <v>410.86500000000001</v>
      </c>
      <c r="J73" s="1">
        <f t="shared" si="9"/>
        <v>492.13500000000005</v>
      </c>
    </row>
    <row r="74" spans="1:10" x14ac:dyDescent="0.35">
      <c r="A74" t="s">
        <v>126</v>
      </c>
      <c r="B74" t="s">
        <v>16</v>
      </c>
      <c r="C74" t="s">
        <v>109</v>
      </c>
      <c r="D74">
        <v>19.5</v>
      </c>
      <c r="E74">
        <f t="shared" si="5"/>
        <v>80.5</v>
      </c>
      <c r="F74">
        <f t="shared" si="6"/>
        <v>0.19500000000000001</v>
      </c>
      <c r="G74" s="1">
        <f t="shared" si="7"/>
        <v>0.80500000000000005</v>
      </c>
      <c r="H74" s="1">
        <v>98</v>
      </c>
      <c r="I74" s="1">
        <f t="shared" si="8"/>
        <v>19.11</v>
      </c>
      <c r="J74" s="1">
        <f t="shared" si="9"/>
        <v>78.89</v>
      </c>
    </row>
    <row r="75" spans="1:10" x14ac:dyDescent="0.35">
      <c r="A75" t="s">
        <v>324</v>
      </c>
      <c r="B75" t="s">
        <v>44</v>
      </c>
      <c r="C75" t="s">
        <v>107</v>
      </c>
      <c r="D75">
        <v>15.3</v>
      </c>
      <c r="E75">
        <f t="shared" si="5"/>
        <v>84.7</v>
      </c>
      <c r="F75">
        <f t="shared" si="6"/>
        <v>0.153</v>
      </c>
      <c r="G75" s="1">
        <f t="shared" si="7"/>
        <v>0.84699999999999998</v>
      </c>
      <c r="H75" s="1">
        <v>456</v>
      </c>
      <c r="I75" s="1">
        <f t="shared" si="8"/>
        <v>69.768000000000001</v>
      </c>
      <c r="J75" s="1">
        <f t="shared" si="9"/>
        <v>386.23199999999997</v>
      </c>
    </row>
    <row r="76" spans="1:10" x14ac:dyDescent="0.35">
      <c r="A76" t="s">
        <v>149</v>
      </c>
      <c r="B76" t="s">
        <v>12</v>
      </c>
      <c r="C76" t="s">
        <v>52</v>
      </c>
      <c r="D76">
        <v>27.1</v>
      </c>
      <c r="E76">
        <f t="shared" si="5"/>
        <v>72.900000000000006</v>
      </c>
      <c r="F76">
        <f t="shared" si="6"/>
        <v>0.27100000000000002</v>
      </c>
      <c r="G76" s="1">
        <f t="shared" si="7"/>
        <v>0.72900000000000009</v>
      </c>
      <c r="H76" s="1">
        <v>170</v>
      </c>
      <c r="I76" s="1">
        <f t="shared" si="8"/>
        <v>46.07</v>
      </c>
      <c r="J76" s="1">
        <f t="shared" si="9"/>
        <v>123.93000000000002</v>
      </c>
    </row>
    <row r="77" spans="1:10" x14ac:dyDescent="0.35">
      <c r="A77" t="s">
        <v>150</v>
      </c>
      <c r="B77" t="s">
        <v>12</v>
      </c>
      <c r="C77" t="s">
        <v>108</v>
      </c>
      <c r="D77">
        <v>56.6</v>
      </c>
      <c r="E77">
        <f t="shared" si="5"/>
        <v>43.4</v>
      </c>
      <c r="F77">
        <f t="shared" si="6"/>
        <v>0.56600000000000006</v>
      </c>
      <c r="G77" s="1">
        <f t="shared" si="7"/>
        <v>0.434</v>
      </c>
      <c r="H77" s="1">
        <v>125</v>
      </c>
      <c r="I77" s="1">
        <f t="shared" si="8"/>
        <v>70.750000000000014</v>
      </c>
      <c r="J77" s="1">
        <f t="shared" si="9"/>
        <v>54.25</v>
      </c>
    </row>
    <row r="78" spans="1:10" x14ac:dyDescent="0.35">
      <c r="A78" t="s">
        <v>210</v>
      </c>
      <c r="B78" t="s">
        <v>20</v>
      </c>
      <c r="C78" t="s">
        <v>17</v>
      </c>
      <c r="D78">
        <v>72.8</v>
      </c>
      <c r="E78">
        <f t="shared" si="5"/>
        <v>27.200000000000003</v>
      </c>
      <c r="F78">
        <f t="shared" si="6"/>
        <v>0.72799999999999998</v>
      </c>
      <c r="G78" s="1">
        <f t="shared" si="7"/>
        <v>0.27200000000000002</v>
      </c>
      <c r="H78" s="1">
        <v>9403</v>
      </c>
      <c r="I78" s="1">
        <f t="shared" si="8"/>
        <v>6845.384</v>
      </c>
      <c r="J78" s="1">
        <f t="shared" si="9"/>
        <v>2557.616</v>
      </c>
    </row>
    <row r="79" spans="1:10" x14ac:dyDescent="0.35">
      <c r="A79" t="s">
        <v>127</v>
      </c>
      <c r="B79" t="s">
        <v>42</v>
      </c>
      <c r="C79" t="s">
        <v>333</v>
      </c>
      <c r="D79">
        <v>2.9</v>
      </c>
      <c r="E79">
        <f t="shared" si="5"/>
        <v>97.1</v>
      </c>
      <c r="F79">
        <f t="shared" si="6"/>
        <v>2.8999999999999998E-2</v>
      </c>
      <c r="G79" s="1">
        <f t="shared" si="7"/>
        <v>0.97099999999999997</v>
      </c>
      <c r="H79" s="1">
        <v>959</v>
      </c>
      <c r="I79" s="1">
        <f t="shared" si="8"/>
        <v>27.810999999999996</v>
      </c>
      <c r="J79" s="1">
        <f t="shared" si="9"/>
        <v>931.18899999999996</v>
      </c>
    </row>
    <row r="80" spans="1:10" x14ac:dyDescent="0.35">
      <c r="A80" t="s">
        <v>128</v>
      </c>
      <c r="B80" t="s">
        <v>16</v>
      </c>
      <c r="C80" t="s">
        <v>17</v>
      </c>
      <c r="D80">
        <v>16.7</v>
      </c>
      <c r="E80">
        <f t="shared" si="5"/>
        <v>83.3</v>
      </c>
      <c r="F80">
        <f t="shared" si="6"/>
        <v>0.16699999999999998</v>
      </c>
      <c r="G80" s="1">
        <f t="shared" si="7"/>
        <v>0.83299999999999996</v>
      </c>
      <c r="H80" s="1">
        <v>3602</v>
      </c>
      <c r="I80" s="1">
        <f t="shared" si="8"/>
        <v>601.53399999999988</v>
      </c>
      <c r="J80" s="1">
        <f t="shared" si="9"/>
        <v>3000.4659999999999</v>
      </c>
    </row>
    <row r="81" spans="1:10" x14ac:dyDescent="0.35">
      <c r="A81" t="s">
        <v>268</v>
      </c>
      <c r="B81" t="s">
        <v>14</v>
      </c>
      <c r="C81" t="s">
        <v>17</v>
      </c>
      <c r="D81">
        <v>49.8</v>
      </c>
      <c r="E81">
        <f t="shared" si="5"/>
        <v>50.2</v>
      </c>
      <c r="F81">
        <f t="shared" si="6"/>
        <v>0.498</v>
      </c>
      <c r="G81" s="1">
        <f t="shared" si="7"/>
        <v>0.502</v>
      </c>
      <c r="H81" s="1">
        <v>46</v>
      </c>
      <c r="I81" s="1">
        <f t="shared" si="8"/>
        <v>22.908000000000001</v>
      </c>
      <c r="J81" s="1">
        <f t="shared" si="9"/>
        <v>23.091999999999999</v>
      </c>
    </row>
    <row r="82" spans="1:10" x14ac:dyDescent="0.35">
      <c r="A82" t="s">
        <v>269</v>
      </c>
      <c r="B82" t="s">
        <v>14</v>
      </c>
      <c r="C82" t="s">
        <v>110</v>
      </c>
      <c r="D82">
        <v>51.8</v>
      </c>
      <c r="E82">
        <f t="shared" si="5"/>
        <v>48.2</v>
      </c>
      <c r="F82">
        <f t="shared" si="6"/>
        <v>0.51800000000000002</v>
      </c>
      <c r="G82" s="1">
        <f t="shared" si="7"/>
        <v>0.48200000000000004</v>
      </c>
      <c r="H82" s="1">
        <v>130</v>
      </c>
      <c r="I82" s="1">
        <f t="shared" si="8"/>
        <v>67.34</v>
      </c>
      <c r="J82" s="1">
        <f t="shared" si="9"/>
        <v>62.660000000000004</v>
      </c>
    </row>
    <row r="83" spans="1:10" x14ac:dyDescent="0.35">
      <c r="A83" t="s">
        <v>192</v>
      </c>
      <c r="B83" t="s">
        <v>4</v>
      </c>
      <c r="C83" t="s">
        <v>111</v>
      </c>
      <c r="D83">
        <v>17.7</v>
      </c>
      <c r="E83">
        <f t="shared" si="5"/>
        <v>82.3</v>
      </c>
      <c r="F83">
        <f t="shared" si="6"/>
        <v>0.17699999999999999</v>
      </c>
      <c r="G83" s="1">
        <f t="shared" si="7"/>
        <v>0.82299999999999995</v>
      </c>
      <c r="H83" s="1">
        <v>148</v>
      </c>
      <c r="I83" s="1">
        <f t="shared" si="8"/>
        <v>26.195999999999998</v>
      </c>
      <c r="J83" s="1">
        <f t="shared" si="9"/>
        <v>121.80399999999999</v>
      </c>
    </row>
    <row r="84" spans="1:10" x14ac:dyDescent="0.35">
      <c r="A84" t="s">
        <v>281</v>
      </c>
      <c r="B84" t="s">
        <v>6</v>
      </c>
      <c r="C84" t="s">
        <v>112</v>
      </c>
      <c r="D84">
        <v>27.4</v>
      </c>
      <c r="E84">
        <f t="shared" si="5"/>
        <v>72.599999999999994</v>
      </c>
      <c r="F84">
        <f t="shared" si="6"/>
        <v>0.27399999999999997</v>
      </c>
      <c r="G84" s="1">
        <f t="shared" si="7"/>
        <v>0.72599999999999998</v>
      </c>
      <c r="H84" s="1">
        <v>876</v>
      </c>
      <c r="I84" s="1">
        <f t="shared" si="8"/>
        <v>240.02399999999997</v>
      </c>
      <c r="J84" s="1">
        <f t="shared" si="9"/>
        <v>635.976</v>
      </c>
    </row>
    <row r="85" spans="1:10" x14ac:dyDescent="0.35">
      <c r="A85" t="s">
        <v>282</v>
      </c>
      <c r="B85" t="s">
        <v>6</v>
      </c>
      <c r="C85" t="s">
        <v>113</v>
      </c>
      <c r="D85">
        <v>56.2</v>
      </c>
      <c r="E85">
        <f t="shared" si="5"/>
        <v>43.8</v>
      </c>
      <c r="F85">
        <f t="shared" si="6"/>
        <v>0.56200000000000006</v>
      </c>
      <c r="G85" s="1">
        <f t="shared" si="7"/>
        <v>0.43799999999999994</v>
      </c>
      <c r="H85" s="1">
        <v>1411</v>
      </c>
      <c r="I85" s="1">
        <f t="shared" si="8"/>
        <v>792.98200000000008</v>
      </c>
      <c r="J85" s="1">
        <f t="shared" si="9"/>
        <v>618.01799999999992</v>
      </c>
    </row>
    <row r="86" spans="1:10" x14ac:dyDescent="0.35">
      <c r="A86" t="s">
        <v>311</v>
      </c>
      <c r="B86" t="s">
        <v>32</v>
      </c>
      <c r="C86" t="s">
        <v>114</v>
      </c>
      <c r="D86">
        <v>3.9</v>
      </c>
      <c r="E86">
        <f t="shared" si="5"/>
        <v>96.1</v>
      </c>
      <c r="F86">
        <f t="shared" si="6"/>
        <v>3.9E-2</v>
      </c>
      <c r="G86" s="1">
        <f t="shared" si="7"/>
        <v>0.96099999999999997</v>
      </c>
      <c r="H86" s="1">
        <v>296</v>
      </c>
      <c r="I86" s="1">
        <f t="shared" si="8"/>
        <v>11.544</v>
      </c>
      <c r="J86" s="1">
        <f t="shared" si="9"/>
        <v>284.45600000000002</v>
      </c>
    </row>
    <row r="87" spans="1:10" x14ac:dyDescent="0.35">
      <c r="A87" t="s">
        <v>218</v>
      </c>
      <c r="B87" t="s">
        <v>92</v>
      </c>
      <c r="C87" t="s">
        <v>17</v>
      </c>
      <c r="D87">
        <v>27.1</v>
      </c>
      <c r="E87">
        <f t="shared" si="5"/>
        <v>72.900000000000006</v>
      </c>
      <c r="F87">
        <f t="shared" si="6"/>
        <v>0.27100000000000002</v>
      </c>
      <c r="G87" s="1">
        <f t="shared" si="7"/>
        <v>0.72900000000000009</v>
      </c>
      <c r="H87" s="1">
        <v>987</v>
      </c>
      <c r="I87" s="1">
        <f t="shared" si="8"/>
        <v>267.47700000000003</v>
      </c>
      <c r="J87" s="1">
        <f t="shared" si="9"/>
        <v>719.52300000000014</v>
      </c>
    </row>
    <row r="88" spans="1:10" x14ac:dyDescent="0.35">
      <c r="A88" t="s">
        <v>303</v>
      </c>
      <c r="B88" t="s">
        <v>22</v>
      </c>
      <c r="C88" t="s">
        <v>17</v>
      </c>
      <c r="D88">
        <v>29.9</v>
      </c>
      <c r="E88">
        <f t="shared" si="5"/>
        <v>70.099999999999994</v>
      </c>
      <c r="F88">
        <f t="shared" si="6"/>
        <v>0.29899999999999999</v>
      </c>
      <c r="G88" s="1">
        <f t="shared" si="7"/>
        <v>0.70099999999999996</v>
      </c>
      <c r="H88" s="1">
        <v>8280</v>
      </c>
      <c r="I88" s="1">
        <f t="shared" si="8"/>
        <v>2475.7199999999998</v>
      </c>
      <c r="J88" s="1">
        <f t="shared" si="9"/>
        <v>5804.28</v>
      </c>
    </row>
    <row r="89" spans="1:10" x14ac:dyDescent="0.35">
      <c r="A89" t="s">
        <v>151</v>
      </c>
      <c r="B89" t="s">
        <v>12</v>
      </c>
      <c r="C89" t="s">
        <v>115</v>
      </c>
      <c r="D89">
        <v>89.1</v>
      </c>
      <c r="E89">
        <f t="shared" si="5"/>
        <v>10.900000000000006</v>
      </c>
      <c r="F89">
        <f t="shared" si="6"/>
        <v>0.8909999999999999</v>
      </c>
      <c r="G89" s="1">
        <f t="shared" si="7"/>
        <v>0.10900000000000006</v>
      </c>
      <c r="H89" s="1">
        <v>63</v>
      </c>
      <c r="I89" s="1">
        <f t="shared" si="8"/>
        <v>56.132999999999996</v>
      </c>
      <c r="J89" s="1">
        <f t="shared" si="9"/>
        <v>6.8670000000000035</v>
      </c>
    </row>
    <row r="90" spans="1:10" ht="15" thickBot="1" x14ac:dyDescent="0.4">
      <c r="A90" t="s">
        <v>338</v>
      </c>
      <c r="B90" t="s">
        <v>26</v>
      </c>
      <c r="C90" t="s">
        <v>66</v>
      </c>
      <c r="D90">
        <v>68.8</v>
      </c>
      <c r="E90">
        <f t="shared" si="5"/>
        <v>31.200000000000003</v>
      </c>
      <c r="F90">
        <f t="shared" si="6"/>
        <v>0.68799999999999994</v>
      </c>
      <c r="G90" s="1">
        <f t="shared" si="7"/>
        <v>0.31200000000000006</v>
      </c>
      <c r="H90" s="1">
        <v>1805</v>
      </c>
      <c r="I90" s="1">
        <f t="shared" si="8"/>
        <v>1241.8399999999999</v>
      </c>
      <c r="J90" s="1">
        <f t="shared" si="9"/>
        <v>563.16000000000008</v>
      </c>
    </row>
    <row r="91" spans="1:10" ht="15" thickBot="1" x14ac:dyDescent="0.4">
      <c r="A91" t="s">
        <v>152</v>
      </c>
      <c r="B91" t="s">
        <v>12</v>
      </c>
      <c r="C91" t="s">
        <v>17</v>
      </c>
      <c r="D91">
        <v>48</v>
      </c>
      <c r="E91">
        <f t="shared" si="5"/>
        <v>52</v>
      </c>
      <c r="F91">
        <f t="shared" si="6"/>
        <v>0.48</v>
      </c>
      <c r="G91" s="1">
        <f t="shared" si="7"/>
        <v>0.52</v>
      </c>
      <c r="H91" s="4">
        <v>3478</v>
      </c>
      <c r="I91" s="1">
        <f t="shared" si="8"/>
        <v>1669.4399999999998</v>
      </c>
      <c r="J91" s="1">
        <f t="shared" si="9"/>
        <v>1808.5600000000002</v>
      </c>
    </row>
    <row r="92" spans="1:10" x14ac:dyDescent="0.35">
      <c r="A92" t="s">
        <v>219</v>
      </c>
      <c r="B92" t="s">
        <v>92</v>
      </c>
      <c r="C92" t="s">
        <v>17</v>
      </c>
      <c r="D92">
        <v>27.1</v>
      </c>
      <c r="E92">
        <f t="shared" si="5"/>
        <v>72.900000000000006</v>
      </c>
      <c r="F92">
        <f t="shared" si="6"/>
        <v>0.27100000000000002</v>
      </c>
      <c r="G92" s="1">
        <f t="shared" si="7"/>
        <v>0.72900000000000009</v>
      </c>
      <c r="H92" s="1">
        <v>987</v>
      </c>
      <c r="I92" s="1">
        <f t="shared" si="8"/>
        <v>267.47700000000003</v>
      </c>
      <c r="J92" s="1">
        <f t="shared" si="9"/>
        <v>719.52300000000014</v>
      </c>
    </row>
    <row r="93" spans="1:10" x14ac:dyDescent="0.35">
      <c r="A93" t="s">
        <v>270</v>
      </c>
      <c r="B93" t="s">
        <v>14</v>
      </c>
      <c r="C93" t="s">
        <v>17</v>
      </c>
      <c r="D93">
        <v>49.8</v>
      </c>
      <c r="E93">
        <f t="shared" si="5"/>
        <v>50.2</v>
      </c>
      <c r="F93">
        <f t="shared" si="6"/>
        <v>0.498</v>
      </c>
      <c r="G93" s="1">
        <f t="shared" si="7"/>
        <v>0.502</v>
      </c>
      <c r="H93" s="1">
        <v>33</v>
      </c>
      <c r="I93" s="1">
        <f t="shared" si="8"/>
        <v>16.434000000000001</v>
      </c>
      <c r="J93" s="1">
        <f t="shared" si="9"/>
        <v>16.565999999999999</v>
      </c>
    </row>
    <row r="94" spans="1:10" x14ac:dyDescent="0.35">
      <c r="A94" t="s">
        <v>271</v>
      </c>
      <c r="B94" t="s">
        <v>14</v>
      </c>
      <c r="C94" t="s">
        <v>17</v>
      </c>
      <c r="D94">
        <v>49.8</v>
      </c>
      <c r="E94">
        <f t="shared" si="5"/>
        <v>50.2</v>
      </c>
      <c r="F94">
        <f t="shared" si="6"/>
        <v>0.498</v>
      </c>
      <c r="G94" s="1">
        <f t="shared" si="7"/>
        <v>0.502</v>
      </c>
      <c r="H94" s="1">
        <v>25</v>
      </c>
      <c r="I94" s="1">
        <f t="shared" si="8"/>
        <v>12.45</v>
      </c>
      <c r="J94" s="1">
        <f t="shared" si="9"/>
        <v>12.55</v>
      </c>
    </row>
    <row r="95" spans="1:10" x14ac:dyDescent="0.35">
      <c r="A95" t="s">
        <v>153</v>
      </c>
      <c r="B95" t="s">
        <v>12</v>
      </c>
      <c r="C95" t="s">
        <v>17</v>
      </c>
      <c r="D95">
        <v>48</v>
      </c>
      <c r="E95">
        <f t="shared" si="5"/>
        <v>52</v>
      </c>
      <c r="F95">
        <f t="shared" si="6"/>
        <v>0.48</v>
      </c>
      <c r="G95" s="1">
        <f t="shared" si="7"/>
        <v>0.52</v>
      </c>
      <c r="H95" s="1">
        <v>3478</v>
      </c>
      <c r="I95" s="1">
        <f t="shared" si="8"/>
        <v>1669.4399999999998</v>
      </c>
      <c r="J95" s="1">
        <f t="shared" si="9"/>
        <v>1808.5600000000002</v>
      </c>
    </row>
    <row r="96" spans="1:10" x14ac:dyDescent="0.35">
      <c r="A96" t="s">
        <v>312</v>
      </c>
      <c r="B96" t="s">
        <v>32</v>
      </c>
      <c r="C96" t="s">
        <v>116</v>
      </c>
      <c r="D96">
        <v>24.9</v>
      </c>
      <c r="E96">
        <f t="shared" si="5"/>
        <v>75.099999999999994</v>
      </c>
      <c r="F96">
        <f t="shared" si="6"/>
        <v>0.249</v>
      </c>
      <c r="G96" s="1">
        <f t="shared" si="7"/>
        <v>0.75099999999999989</v>
      </c>
      <c r="H96" s="1">
        <v>925</v>
      </c>
      <c r="I96" s="1">
        <f t="shared" si="8"/>
        <v>230.32499999999999</v>
      </c>
      <c r="J96" s="1">
        <f t="shared" si="9"/>
        <v>694.67499999999995</v>
      </c>
    </row>
    <row r="97" spans="1:10" x14ac:dyDescent="0.35">
      <c r="A97" t="s">
        <v>154</v>
      </c>
      <c r="B97" t="s">
        <v>12</v>
      </c>
      <c r="C97" t="s">
        <v>52</v>
      </c>
      <c r="D97">
        <v>27.1</v>
      </c>
      <c r="E97">
        <f t="shared" si="5"/>
        <v>72.900000000000006</v>
      </c>
      <c r="F97">
        <f t="shared" si="6"/>
        <v>0.27100000000000002</v>
      </c>
      <c r="G97" s="1">
        <f t="shared" si="7"/>
        <v>0.72900000000000009</v>
      </c>
      <c r="H97" s="1">
        <v>170</v>
      </c>
      <c r="I97" s="1">
        <f t="shared" si="8"/>
        <v>46.07</v>
      </c>
      <c r="J97" s="1">
        <f t="shared" si="9"/>
        <v>123.93000000000002</v>
      </c>
    </row>
    <row r="98" spans="1:10" x14ac:dyDescent="0.35">
      <c r="A98" t="s">
        <v>296</v>
      </c>
      <c r="B98" t="s">
        <v>24</v>
      </c>
      <c r="C98" t="s">
        <v>28</v>
      </c>
      <c r="D98">
        <v>92.1</v>
      </c>
      <c r="E98">
        <f t="shared" si="5"/>
        <v>7.9000000000000057</v>
      </c>
      <c r="F98">
        <f t="shared" si="6"/>
        <v>0.92099999999999993</v>
      </c>
      <c r="G98" s="1">
        <f t="shared" si="7"/>
        <v>7.9000000000000056E-2</v>
      </c>
      <c r="H98" s="1">
        <v>717</v>
      </c>
      <c r="I98" s="1">
        <f t="shared" si="8"/>
        <v>660.35699999999997</v>
      </c>
      <c r="J98" s="1">
        <f t="shared" si="9"/>
        <v>56.643000000000043</v>
      </c>
    </row>
    <row r="99" spans="1:10" x14ac:dyDescent="0.35">
      <c r="A99" t="s">
        <v>247</v>
      </c>
      <c r="B99" t="s">
        <v>86</v>
      </c>
      <c r="C99" t="s">
        <v>17</v>
      </c>
      <c r="D99">
        <v>4.0999999999999996</v>
      </c>
      <c r="E99">
        <f t="shared" si="5"/>
        <v>95.9</v>
      </c>
      <c r="F99">
        <f t="shared" si="6"/>
        <v>4.0999999999999995E-2</v>
      </c>
      <c r="G99" s="1">
        <f t="shared" si="7"/>
        <v>0.95900000000000007</v>
      </c>
      <c r="H99" s="1">
        <v>4881</v>
      </c>
      <c r="I99" s="1">
        <f t="shared" si="8"/>
        <v>200.12099999999998</v>
      </c>
      <c r="J99" s="1">
        <f t="shared" si="9"/>
        <v>4680.8790000000008</v>
      </c>
    </row>
    <row r="100" spans="1:10" x14ac:dyDescent="0.35">
      <c r="A100" t="s">
        <v>248</v>
      </c>
      <c r="B100" t="s">
        <v>86</v>
      </c>
      <c r="C100" t="s">
        <v>17</v>
      </c>
      <c r="D100">
        <v>4.0999999999999996</v>
      </c>
      <c r="E100">
        <f t="shared" si="5"/>
        <v>95.9</v>
      </c>
      <c r="F100">
        <f t="shared" si="6"/>
        <v>4.0999999999999995E-2</v>
      </c>
      <c r="G100" s="1">
        <f t="shared" si="7"/>
        <v>0.95900000000000007</v>
      </c>
      <c r="H100" s="1">
        <v>4881</v>
      </c>
      <c r="I100" s="1">
        <f t="shared" si="8"/>
        <v>200.12099999999998</v>
      </c>
      <c r="J100" s="1">
        <f t="shared" si="9"/>
        <v>4680.8790000000008</v>
      </c>
    </row>
    <row r="101" spans="1:10" x14ac:dyDescent="0.35">
      <c r="A101" t="s">
        <v>211</v>
      </c>
      <c r="B101" t="s">
        <v>20</v>
      </c>
      <c r="C101" t="s">
        <v>17</v>
      </c>
      <c r="D101">
        <v>72.8</v>
      </c>
      <c r="E101">
        <f t="shared" si="5"/>
        <v>27.200000000000003</v>
      </c>
      <c r="F101">
        <f t="shared" si="6"/>
        <v>0.72799999999999998</v>
      </c>
      <c r="G101" s="1">
        <f t="shared" si="7"/>
        <v>0.27200000000000002</v>
      </c>
      <c r="H101" s="1">
        <v>9403</v>
      </c>
      <c r="I101" s="1">
        <f t="shared" si="8"/>
        <v>6845.384</v>
      </c>
      <c r="J101" s="1">
        <f t="shared" si="9"/>
        <v>2557.616</v>
      </c>
    </row>
    <row r="102" spans="1:10" x14ac:dyDescent="0.35">
      <c r="A102" t="s">
        <v>272</v>
      </c>
      <c r="B102" t="s">
        <v>14</v>
      </c>
      <c r="C102" t="s">
        <v>17</v>
      </c>
      <c r="D102">
        <v>49.8</v>
      </c>
      <c r="E102">
        <f t="shared" si="5"/>
        <v>50.2</v>
      </c>
      <c r="F102">
        <f t="shared" si="6"/>
        <v>0.498</v>
      </c>
      <c r="G102" s="1">
        <f t="shared" si="7"/>
        <v>0.502</v>
      </c>
      <c r="H102" s="1">
        <v>4</v>
      </c>
      <c r="I102" s="1">
        <f t="shared" si="8"/>
        <v>1.992</v>
      </c>
      <c r="J102" s="1">
        <f t="shared" si="9"/>
        <v>2.008</v>
      </c>
    </row>
    <row r="103" spans="1:10" x14ac:dyDescent="0.35">
      <c r="A103" t="s">
        <v>124</v>
      </c>
      <c r="B103" t="s">
        <v>56</v>
      </c>
      <c r="C103" t="s">
        <v>17</v>
      </c>
      <c r="D103">
        <v>93.2</v>
      </c>
      <c r="E103">
        <f t="shared" si="5"/>
        <v>6.7999999999999972</v>
      </c>
      <c r="F103">
        <f t="shared" si="6"/>
        <v>0.93200000000000005</v>
      </c>
      <c r="G103" s="1">
        <f t="shared" si="7"/>
        <v>6.7999999999999977E-2</v>
      </c>
      <c r="H103" s="2">
        <v>47509</v>
      </c>
      <c r="I103" s="1">
        <f t="shared" si="8"/>
        <v>44278.387999999999</v>
      </c>
      <c r="J103" s="1">
        <f t="shared" si="9"/>
        <v>3230.6119999999987</v>
      </c>
    </row>
    <row r="104" spans="1:10" x14ac:dyDescent="0.35">
      <c r="A104" t="s">
        <v>187</v>
      </c>
      <c r="B104" t="s">
        <v>56</v>
      </c>
      <c r="C104" t="s">
        <v>55</v>
      </c>
      <c r="D104">
        <v>88.4</v>
      </c>
      <c r="E104">
        <f t="shared" si="5"/>
        <v>11.599999999999994</v>
      </c>
      <c r="F104">
        <f t="shared" si="6"/>
        <v>0.88400000000000001</v>
      </c>
      <c r="G104" s="1">
        <f t="shared" si="7"/>
        <v>0.11599999999999994</v>
      </c>
      <c r="H104" s="1">
        <v>1380</v>
      </c>
      <c r="I104" s="1">
        <f t="shared" si="8"/>
        <v>1219.92</v>
      </c>
      <c r="J104" s="1">
        <f t="shared" si="9"/>
        <v>160.0799999999999</v>
      </c>
    </row>
    <row r="105" spans="1:10" x14ac:dyDescent="0.35">
      <c r="A105" t="s">
        <v>155</v>
      </c>
      <c r="B105" t="s">
        <v>12</v>
      </c>
      <c r="C105" t="s">
        <v>11</v>
      </c>
      <c r="D105">
        <v>51.6</v>
      </c>
      <c r="E105">
        <f t="shared" si="5"/>
        <v>48.4</v>
      </c>
      <c r="F105">
        <f t="shared" si="6"/>
        <v>0.51600000000000001</v>
      </c>
      <c r="G105" s="1">
        <f t="shared" si="7"/>
        <v>0.48399999999999999</v>
      </c>
      <c r="H105" s="1">
        <v>334</v>
      </c>
      <c r="I105" s="1">
        <f t="shared" si="8"/>
        <v>172.34399999999999</v>
      </c>
      <c r="J105" s="1">
        <f t="shared" si="9"/>
        <v>161.65600000000001</v>
      </c>
    </row>
    <row r="106" spans="1:10" x14ac:dyDescent="0.35">
      <c r="A106" t="s">
        <v>206</v>
      </c>
      <c r="B106" t="s">
        <v>42</v>
      </c>
      <c r="C106" t="s">
        <v>17</v>
      </c>
      <c r="D106">
        <v>4.3</v>
      </c>
      <c r="E106">
        <f t="shared" si="5"/>
        <v>95.7</v>
      </c>
      <c r="F106">
        <f t="shared" si="6"/>
        <v>4.2999999999999997E-2</v>
      </c>
      <c r="G106" s="1">
        <f t="shared" si="7"/>
        <v>0.95700000000000007</v>
      </c>
      <c r="H106" s="1">
        <v>8457</v>
      </c>
      <c r="I106" s="1">
        <f t="shared" si="8"/>
        <v>363.65099999999995</v>
      </c>
      <c r="J106" s="1">
        <f t="shared" si="9"/>
        <v>8093.3490000000011</v>
      </c>
    </row>
    <row r="107" spans="1:10" x14ac:dyDescent="0.35">
      <c r="A107" t="s">
        <v>336</v>
      </c>
      <c r="B107" t="s">
        <v>4</v>
      </c>
      <c r="C107" t="s">
        <v>17</v>
      </c>
      <c r="D107">
        <v>54</v>
      </c>
      <c r="E107">
        <f t="shared" si="5"/>
        <v>46</v>
      </c>
      <c r="F107">
        <f t="shared" si="6"/>
        <v>0.54</v>
      </c>
      <c r="G107" s="1">
        <f t="shared" si="7"/>
        <v>0.46</v>
      </c>
      <c r="H107" s="1">
        <v>9638</v>
      </c>
      <c r="I107" s="1">
        <f t="shared" si="8"/>
        <v>5204.5200000000004</v>
      </c>
      <c r="J107" s="1">
        <f t="shared" si="9"/>
        <v>4433.4800000000005</v>
      </c>
    </row>
    <row r="108" spans="1:10" x14ac:dyDescent="0.35">
      <c r="A108" t="s">
        <v>188</v>
      </c>
      <c r="B108" t="s">
        <v>56</v>
      </c>
      <c r="C108" t="s">
        <v>117</v>
      </c>
      <c r="D108">
        <v>38.700000000000003</v>
      </c>
      <c r="E108">
        <f t="shared" si="5"/>
        <v>61.3</v>
      </c>
      <c r="F108">
        <f t="shared" si="6"/>
        <v>0.38700000000000001</v>
      </c>
      <c r="G108" s="1">
        <f t="shared" si="7"/>
        <v>0.61299999999999999</v>
      </c>
      <c r="H108" s="5">
        <v>2204</v>
      </c>
      <c r="I108" s="1">
        <f t="shared" si="8"/>
        <v>852.94799999999998</v>
      </c>
      <c r="J108" s="1">
        <f t="shared" si="9"/>
        <v>1351.0519999999999</v>
      </c>
    </row>
    <row r="109" spans="1:10" x14ac:dyDescent="0.35">
      <c r="A109" t="s">
        <v>304</v>
      </c>
      <c r="B109" t="s">
        <v>22</v>
      </c>
      <c r="C109" t="s">
        <v>33</v>
      </c>
      <c r="D109">
        <v>46</v>
      </c>
      <c r="E109">
        <f t="shared" si="5"/>
        <v>54</v>
      </c>
      <c r="F109">
        <f t="shared" si="6"/>
        <v>0.46</v>
      </c>
      <c r="G109" s="1">
        <f t="shared" si="7"/>
        <v>0.54</v>
      </c>
      <c r="H109" s="1">
        <v>58</v>
      </c>
      <c r="I109" s="1">
        <f t="shared" si="8"/>
        <v>26.68</v>
      </c>
      <c r="J109" s="1">
        <f t="shared" si="9"/>
        <v>31.32</v>
      </c>
    </row>
    <row r="110" spans="1:10" ht="15" thickBot="1" x14ac:dyDescent="0.4">
      <c r="A110" t="s">
        <v>342</v>
      </c>
      <c r="B110" t="s">
        <v>22</v>
      </c>
      <c r="C110" t="s">
        <v>33</v>
      </c>
      <c r="D110">
        <v>46</v>
      </c>
      <c r="E110">
        <f t="shared" si="5"/>
        <v>54</v>
      </c>
      <c r="F110">
        <f t="shared" si="6"/>
        <v>0.46</v>
      </c>
      <c r="G110" s="1">
        <f t="shared" si="7"/>
        <v>0.54</v>
      </c>
      <c r="H110" s="1">
        <v>58</v>
      </c>
      <c r="I110" s="1">
        <f t="shared" si="8"/>
        <v>26.68</v>
      </c>
      <c r="J110" s="1">
        <f t="shared" si="9"/>
        <v>31.32</v>
      </c>
    </row>
    <row r="111" spans="1:10" ht="15" thickBot="1" x14ac:dyDescent="0.4">
      <c r="A111" t="s">
        <v>156</v>
      </c>
      <c r="B111" t="s">
        <v>12</v>
      </c>
      <c r="C111" t="s">
        <v>58</v>
      </c>
      <c r="D111">
        <v>51.3</v>
      </c>
      <c r="E111">
        <f t="shared" si="5"/>
        <v>48.7</v>
      </c>
      <c r="F111">
        <f t="shared" si="6"/>
        <v>0.51300000000000001</v>
      </c>
      <c r="G111" s="1">
        <f t="shared" si="7"/>
        <v>0.48700000000000004</v>
      </c>
      <c r="H111" s="4">
        <v>65</v>
      </c>
      <c r="I111" s="1">
        <f t="shared" si="8"/>
        <v>33.344999999999999</v>
      </c>
      <c r="J111" s="1">
        <f t="shared" si="9"/>
        <v>31.655000000000001</v>
      </c>
    </row>
    <row r="112" spans="1:10" x14ac:dyDescent="0.35">
      <c r="A112" t="s">
        <v>256</v>
      </c>
      <c r="B112" t="s">
        <v>10</v>
      </c>
      <c r="C112" t="s">
        <v>120</v>
      </c>
      <c r="D112">
        <v>46.5</v>
      </c>
      <c r="E112">
        <f t="shared" si="5"/>
        <v>53.5</v>
      </c>
      <c r="F112">
        <f t="shared" si="6"/>
        <v>0.46500000000000002</v>
      </c>
      <c r="G112" s="1">
        <f t="shared" si="7"/>
        <v>0.53500000000000003</v>
      </c>
      <c r="H112" s="1">
        <v>76</v>
      </c>
      <c r="I112" s="1">
        <f t="shared" si="8"/>
        <v>35.340000000000003</v>
      </c>
      <c r="J112" s="1">
        <f t="shared" si="9"/>
        <v>40.660000000000004</v>
      </c>
    </row>
    <row r="113" spans="1:10" x14ac:dyDescent="0.35">
      <c r="A113" t="s">
        <v>257</v>
      </c>
      <c r="B113" t="s">
        <v>10</v>
      </c>
      <c r="C113" t="s">
        <v>17</v>
      </c>
      <c r="D113">
        <v>52.1</v>
      </c>
      <c r="E113">
        <f t="shared" si="5"/>
        <v>47.9</v>
      </c>
      <c r="F113">
        <f t="shared" si="6"/>
        <v>0.52100000000000002</v>
      </c>
      <c r="G113" s="1">
        <f t="shared" si="7"/>
        <v>0.47899999999999998</v>
      </c>
      <c r="H113" s="1">
        <v>1897</v>
      </c>
      <c r="I113" s="1">
        <f t="shared" si="8"/>
        <v>988.33699999999999</v>
      </c>
      <c r="J113" s="1">
        <f t="shared" si="9"/>
        <v>908.66300000000001</v>
      </c>
    </row>
    <row r="114" spans="1:10" x14ac:dyDescent="0.35">
      <c r="A114" t="s">
        <v>283</v>
      </c>
      <c r="B114" t="s">
        <v>6</v>
      </c>
      <c r="C114" t="s">
        <v>17</v>
      </c>
      <c r="D114">
        <v>41.9</v>
      </c>
      <c r="E114">
        <f t="shared" si="5"/>
        <v>58.1</v>
      </c>
      <c r="F114">
        <f t="shared" si="6"/>
        <v>0.41899999999999998</v>
      </c>
      <c r="G114" s="1">
        <f t="shared" si="7"/>
        <v>0.58099999999999996</v>
      </c>
      <c r="H114" s="1">
        <v>20906</v>
      </c>
      <c r="I114" s="1">
        <f t="shared" si="8"/>
        <v>8759.6139999999996</v>
      </c>
      <c r="J114" s="1">
        <f t="shared" si="9"/>
        <v>12146.385999999999</v>
      </c>
    </row>
    <row r="115" spans="1:10" x14ac:dyDescent="0.35">
      <c r="A115" t="s">
        <v>258</v>
      </c>
      <c r="B115" t="s">
        <v>10</v>
      </c>
      <c r="C115" t="s">
        <v>9</v>
      </c>
      <c r="D115">
        <v>39.5</v>
      </c>
      <c r="E115">
        <f t="shared" si="5"/>
        <v>60.5</v>
      </c>
      <c r="F115">
        <f t="shared" si="6"/>
        <v>0.39500000000000002</v>
      </c>
      <c r="G115" s="1">
        <f t="shared" si="7"/>
        <v>0.60499999999999998</v>
      </c>
      <c r="H115" s="1">
        <v>1189</v>
      </c>
      <c r="I115" s="1">
        <f t="shared" si="8"/>
        <v>469.65500000000003</v>
      </c>
      <c r="J115" s="1">
        <f t="shared" si="9"/>
        <v>719.34500000000003</v>
      </c>
    </row>
    <row r="116" spans="1:10" x14ac:dyDescent="0.35">
      <c r="A116" t="s">
        <v>212</v>
      </c>
      <c r="B116" t="s">
        <v>20</v>
      </c>
      <c r="C116" t="s">
        <v>17</v>
      </c>
      <c r="D116">
        <v>72.8</v>
      </c>
      <c r="E116">
        <f t="shared" si="5"/>
        <v>27.200000000000003</v>
      </c>
      <c r="F116">
        <f t="shared" si="6"/>
        <v>0.72799999999999998</v>
      </c>
      <c r="G116" s="1">
        <f t="shared" si="7"/>
        <v>0.27200000000000002</v>
      </c>
      <c r="H116" s="1">
        <v>9403</v>
      </c>
      <c r="I116" s="1">
        <f t="shared" si="8"/>
        <v>6845.384</v>
      </c>
      <c r="J116" s="1">
        <f t="shared" si="9"/>
        <v>2557.616</v>
      </c>
    </row>
    <row r="117" spans="1:10" x14ac:dyDescent="0.35">
      <c r="A117" t="s">
        <v>289</v>
      </c>
      <c r="B117" t="s">
        <v>40</v>
      </c>
      <c r="C117" t="s">
        <v>119</v>
      </c>
      <c r="D117">
        <v>83.2</v>
      </c>
      <c r="E117">
        <f t="shared" si="5"/>
        <v>16.799999999999997</v>
      </c>
      <c r="F117">
        <f t="shared" si="6"/>
        <v>0.83200000000000007</v>
      </c>
      <c r="G117" s="1">
        <f t="shared" si="7"/>
        <v>0.16799999999999998</v>
      </c>
      <c r="H117" s="1">
        <v>71</v>
      </c>
      <c r="I117" s="1">
        <f t="shared" si="8"/>
        <v>59.072000000000003</v>
      </c>
      <c r="J117" s="1">
        <f t="shared" si="9"/>
        <v>11.927999999999999</v>
      </c>
    </row>
    <row r="118" spans="1:10" x14ac:dyDescent="0.35">
      <c r="A118" t="s">
        <v>313</v>
      </c>
      <c r="B118" t="s">
        <v>32</v>
      </c>
      <c r="C118" t="s">
        <v>31</v>
      </c>
      <c r="D118">
        <v>45.7</v>
      </c>
      <c r="E118">
        <f t="shared" si="5"/>
        <v>54.3</v>
      </c>
      <c r="F118">
        <f t="shared" si="6"/>
        <v>0.45700000000000002</v>
      </c>
      <c r="G118" s="1">
        <f t="shared" si="7"/>
        <v>0.54299999999999993</v>
      </c>
      <c r="H118" s="1">
        <v>137</v>
      </c>
      <c r="I118" s="1">
        <f t="shared" si="8"/>
        <v>62.609000000000002</v>
      </c>
      <c r="J118" s="1">
        <f t="shared" si="9"/>
        <v>74.390999999999991</v>
      </c>
    </row>
    <row r="119" spans="1:10" x14ac:dyDescent="0.35">
      <c r="A119" t="s">
        <v>343</v>
      </c>
      <c r="B119" t="s">
        <v>22</v>
      </c>
      <c r="C119" t="s">
        <v>17</v>
      </c>
      <c r="D119">
        <v>29.9</v>
      </c>
      <c r="E119">
        <f t="shared" si="5"/>
        <v>70.099999999999994</v>
      </c>
      <c r="F119">
        <f t="shared" si="6"/>
        <v>0.29899999999999999</v>
      </c>
      <c r="G119" s="1">
        <f t="shared" si="7"/>
        <v>0.70099999999999996</v>
      </c>
      <c r="H119" s="1">
        <v>8280</v>
      </c>
      <c r="I119" s="1">
        <f t="shared" si="8"/>
        <v>2475.7199999999998</v>
      </c>
      <c r="J119" s="1">
        <f t="shared" si="9"/>
        <v>5804.28</v>
      </c>
    </row>
    <row r="120" spans="1:10" x14ac:dyDescent="0.35">
      <c r="A120" t="s">
        <v>305</v>
      </c>
      <c r="B120" t="s">
        <v>22</v>
      </c>
      <c r="C120" t="s">
        <v>17</v>
      </c>
      <c r="D120">
        <v>29.9</v>
      </c>
      <c r="E120">
        <f t="shared" si="5"/>
        <v>70.099999999999994</v>
      </c>
      <c r="F120">
        <f t="shared" si="6"/>
        <v>0.29899999999999999</v>
      </c>
      <c r="G120" s="1">
        <f t="shared" si="7"/>
        <v>0.70099999999999996</v>
      </c>
      <c r="H120" s="1">
        <v>8280</v>
      </c>
      <c r="I120" s="1">
        <f t="shared" si="8"/>
        <v>2475.7199999999998</v>
      </c>
      <c r="J120" s="1">
        <f t="shared" si="9"/>
        <v>5804.28</v>
      </c>
    </row>
    <row r="121" spans="1:10" x14ac:dyDescent="0.35">
      <c r="A121" t="s">
        <v>157</v>
      </c>
      <c r="B121" t="s">
        <v>12</v>
      </c>
      <c r="C121" t="s">
        <v>17</v>
      </c>
      <c r="D121">
        <v>48</v>
      </c>
      <c r="E121">
        <f t="shared" si="5"/>
        <v>52</v>
      </c>
      <c r="F121">
        <f t="shared" si="6"/>
        <v>0.48</v>
      </c>
      <c r="G121" s="1">
        <f t="shared" si="7"/>
        <v>0.52</v>
      </c>
      <c r="H121" s="1">
        <v>3478</v>
      </c>
      <c r="I121" s="1">
        <f t="shared" si="8"/>
        <v>1669.4399999999998</v>
      </c>
      <c r="J121" s="1">
        <f t="shared" si="9"/>
        <v>1808.5600000000002</v>
      </c>
    </row>
    <row r="122" spans="1:10" x14ac:dyDescent="0.35">
      <c r="A122" t="s">
        <v>284</v>
      </c>
      <c r="B122" t="s">
        <v>6</v>
      </c>
      <c r="C122" t="s">
        <v>17</v>
      </c>
      <c r="D122">
        <v>41.9</v>
      </c>
      <c r="E122">
        <f t="shared" si="5"/>
        <v>58.1</v>
      </c>
      <c r="F122">
        <f t="shared" si="6"/>
        <v>0.41899999999999998</v>
      </c>
      <c r="G122" s="1">
        <f t="shared" si="7"/>
        <v>0.58099999999999996</v>
      </c>
      <c r="H122" s="1">
        <v>20906</v>
      </c>
      <c r="I122" s="1">
        <f t="shared" si="8"/>
        <v>8759.6139999999996</v>
      </c>
      <c r="J122" s="1">
        <f t="shared" si="9"/>
        <v>12146.385999999999</v>
      </c>
    </row>
    <row r="123" spans="1:10" x14ac:dyDescent="0.35">
      <c r="A123" t="s">
        <v>193</v>
      </c>
      <c r="B123" t="s">
        <v>4</v>
      </c>
      <c r="C123" t="s">
        <v>17</v>
      </c>
      <c r="D123">
        <v>54</v>
      </c>
      <c r="E123">
        <f t="shared" si="5"/>
        <v>46</v>
      </c>
      <c r="F123">
        <f t="shared" si="6"/>
        <v>0.54</v>
      </c>
      <c r="G123" s="1">
        <f t="shared" si="7"/>
        <v>0.46</v>
      </c>
      <c r="H123" s="1">
        <v>9638</v>
      </c>
      <c r="I123" s="1">
        <f t="shared" si="8"/>
        <v>5204.5200000000004</v>
      </c>
      <c r="J123" s="1">
        <f t="shared" si="9"/>
        <v>4433.4800000000005</v>
      </c>
    </row>
    <row r="124" spans="1:10" x14ac:dyDescent="0.35">
      <c r="A124" t="s">
        <v>201</v>
      </c>
      <c r="B124" t="s">
        <v>64</v>
      </c>
      <c r="C124" t="s">
        <v>17</v>
      </c>
      <c r="D124">
        <v>26.9</v>
      </c>
      <c r="E124">
        <f t="shared" si="5"/>
        <v>73.099999999999994</v>
      </c>
      <c r="F124">
        <f t="shared" si="6"/>
        <v>0.26899999999999996</v>
      </c>
      <c r="G124" s="1">
        <f t="shared" si="7"/>
        <v>0.73099999999999998</v>
      </c>
      <c r="H124" s="1">
        <v>5</v>
      </c>
      <c r="I124" s="1">
        <f t="shared" si="8"/>
        <v>1.3449999999999998</v>
      </c>
      <c r="J124" s="1">
        <f t="shared" si="9"/>
        <v>3.6549999999999998</v>
      </c>
    </row>
    <row r="125" spans="1:10" x14ac:dyDescent="0.35">
      <c r="A125" t="s">
        <v>249</v>
      </c>
      <c r="B125" t="s">
        <v>86</v>
      </c>
      <c r="C125" t="s">
        <v>118</v>
      </c>
      <c r="D125">
        <v>2.5</v>
      </c>
      <c r="E125">
        <f t="shared" si="5"/>
        <v>97.5</v>
      </c>
      <c r="F125">
        <f t="shared" si="6"/>
        <v>2.5000000000000001E-2</v>
      </c>
      <c r="G125" s="1">
        <f t="shared" si="7"/>
        <v>0.97499999999999998</v>
      </c>
      <c r="H125" s="1">
        <v>933</v>
      </c>
      <c r="I125" s="1">
        <f t="shared" si="8"/>
        <v>23.325000000000003</v>
      </c>
      <c r="J125" s="1">
        <f t="shared" si="9"/>
        <v>909.67499999999995</v>
      </c>
    </row>
    <row r="126" spans="1:10" x14ac:dyDescent="0.35">
      <c r="A126" t="s">
        <v>250</v>
      </c>
      <c r="B126" t="s">
        <v>86</v>
      </c>
      <c r="C126" t="s">
        <v>118</v>
      </c>
      <c r="D126">
        <v>2.5</v>
      </c>
      <c r="E126">
        <f t="shared" si="5"/>
        <v>97.5</v>
      </c>
      <c r="F126">
        <f t="shared" si="6"/>
        <v>2.5000000000000001E-2</v>
      </c>
      <c r="G126" s="1">
        <f t="shared" si="7"/>
        <v>0.97499999999999998</v>
      </c>
      <c r="H126" s="1">
        <v>933</v>
      </c>
      <c r="I126" s="1">
        <f t="shared" si="8"/>
        <v>23.325000000000003</v>
      </c>
      <c r="J126" s="1">
        <f t="shared" si="9"/>
        <v>909.67499999999995</v>
      </c>
    </row>
    <row r="127" spans="1:10" x14ac:dyDescent="0.35">
      <c r="A127" t="s">
        <v>230</v>
      </c>
      <c r="B127" t="s">
        <v>46</v>
      </c>
      <c r="C127" t="s">
        <v>17</v>
      </c>
      <c r="D127">
        <v>75.900000000000006</v>
      </c>
      <c r="E127">
        <f t="shared" si="5"/>
        <v>24.099999999999994</v>
      </c>
      <c r="F127">
        <f t="shared" si="6"/>
        <v>0.75900000000000001</v>
      </c>
      <c r="G127" s="1">
        <f t="shared" si="7"/>
        <v>0.24099999999999994</v>
      </c>
      <c r="H127" s="1">
        <v>10099</v>
      </c>
      <c r="I127" s="1">
        <f t="shared" si="8"/>
        <v>7665.1410000000005</v>
      </c>
      <c r="J127" s="1">
        <f t="shared" si="9"/>
        <v>2433.8589999999995</v>
      </c>
    </row>
    <row r="128" spans="1:10" x14ac:dyDescent="0.35">
      <c r="A128" t="s">
        <v>273</v>
      </c>
      <c r="B128" t="s">
        <v>14</v>
      </c>
      <c r="C128" t="s">
        <v>29</v>
      </c>
      <c r="D128">
        <v>55</v>
      </c>
      <c r="E128">
        <f t="shared" si="5"/>
        <v>45</v>
      </c>
      <c r="F128">
        <f t="shared" si="6"/>
        <v>0.55000000000000004</v>
      </c>
      <c r="G128" s="1">
        <f t="shared" si="7"/>
        <v>0.45</v>
      </c>
      <c r="H128" s="1">
        <v>118</v>
      </c>
      <c r="I128" s="1">
        <f t="shared" si="8"/>
        <v>64.900000000000006</v>
      </c>
      <c r="J128" s="1">
        <f t="shared" si="9"/>
        <v>53.1</v>
      </c>
    </row>
    <row r="129" spans="1:10" x14ac:dyDescent="0.35">
      <c r="A129" t="s">
        <v>317</v>
      </c>
      <c r="B129" t="s">
        <v>51</v>
      </c>
      <c r="C129" t="s">
        <v>17</v>
      </c>
      <c r="D129">
        <v>48.7</v>
      </c>
      <c r="E129">
        <f t="shared" si="5"/>
        <v>51.3</v>
      </c>
      <c r="F129">
        <f t="shared" si="6"/>
        <v>0.48700000000000004</v>
      </c>
      <c r="G129" s="1">
        <f t="shared" si="7"/>
        <v>0.51300000000000001</v>
      </c>
      <c r="H129" s="1">
        <v>1031</v>
      </c>
      <c r="I129" s="1">
        <f t="shared" si="8"/>
        <v>502.09700000000004</v>
      </c>
      <c r="J129" s="1">
        <f t="shared" si="9"/>
        <v>528.90300000000002</v>
      </c>
    </row>
    <row r="130" spans="1:10" ht="15" thickBot="1" x14ac:dyDescent="0.4">
      <c r="A130" t="s">
        <v>325</v>
      </c>
      <c r="B130" t="s">
        <v>44</v>
      </c>
      <c r="C130" t="s">
        <v>106</v>
      </c>
      <c r="D130">
        <v>24.2</v>
      </c>
      <c r="E130">
        <f t="shared" ref="E130:E193" si="10">100-D130</f>
        <v>75.8</v>
      </c>
      <c r="F130">
        <f t="shared" ref="F130:F193" si="11">D130/100</f>
        <v>0.24199999999999999</v>
      </c>
      <c r="G130" s="1">
        <f t="shared" ref="G130:G193" si="12">E130/100</f>
        <v>0.75800000000000001</v>
      </c>
      <c r="H130" s="1">
        <v>2090</v>
      </c>
      <c r="I130" s="1">
        <f t="shared" ref="I130:I193" si="13">$H130*F130</f>
        <v>505.78</v>
      </c>
      <c r="J130" s="1">
        <f t="shared" ref="J130:J193" si="14">$H130*G130</f>
        <v>1584.22</v>
      </c>
    </row>
    <row r="131" spans="1:10" ht="15" thickBot="1" x14ac:dyDescent="0.4">
      <c r="A131" t="s">
        <v>158</v>
      </c>
      <c r="B131" t="s">
        <v>12</v>
      </c>
      <c r="C131" t="s">
        <v>52</v>
      </c>
      <c r="D131">
        <v>27.1</v>
      </c>
      <c r="E131">
        <f t="shared" si="10"/>
        <v>72.900000000000006</v>
      </c>
      <c r="F131">
        <f t="shared" si="11"/>
        <v>0.27100000000000002</v>
      </c>
      <c r="G131" s="1">
        <f t="shared" si="12"/>
        <v>0.72900000000000009</v>
      </c>
      <c r="H131" s="4">
        <v>170</v>
      </c>
      <c r="I131" s="1">
        <f t="shared" si="13"/>
        <v>46.07</v>
      </c>
      <c r="J131" s="1">
        <f t="shared" si="14"/>
        <v>123.93000000000002</v>
      </c>
    </row>
    <row r="132" spans="1:10" x14ac:dyDescent="0.35">
      <c r="A132" t="s">
        <v>297</v>
      </c>
      <c r="B132" t="s">
        <v>24</v>
      </c>
      <c r="C132" t="s">
        <v>105</v>
      </c>
      <c r="D132">
        <v>93.8</v>
      </c>
      <c r="E132">
        <f t="shared" si="10"/>
        <v>6.2000000000000028</v>
      </c>
      <c r="F132">
        <f t="shared" si="11"/>
        <v>0.93799999999999994</v>
      </c>
      <c r="G132" s="1">
        <f t="shared" si="12"/>
        <v>6.2000000000000027E-2</v>
      </c>
      <c r="H132" s="1">
        <v>1036</v>
      </c>
      <c r="I132" s="1">
        <f t="shared" si="13"/>
        <v>971.76799999999992</v>
      </c>
      <c r="J132" s="1">
        <f t="shared" si="14"/>
        <v>64.232000000000028</v>
      </c>
    </row>
    <row r="133" spans="1:10" x14ac:dyDescent="0.35">
      <c r="A133" t="s">
        <v>231</v>
      </c>
      <c r="B133" t="s">
        <v>46</v>
      </c>
      <c r="C133" t="s">
        <v>78</v>
      </c>
      <c r="D133">
        <v>20</v>
      </c>
      <c r="E133">
        <f t="shared" si="10"/>
        <v>80</v>
      </c>
      <c r="F133">
        <f t="shared" si="11"/>
        <v>0.2</v>
      </c>
      <c r="G133" s="1">
        <f t="shared" si="12"/>
        <v>0.8</v>
      </c>
      <c r="H133" s="1">
        <v>59</v>
      </c>
      <c r="I133" s="1">
        <f t="shared" si="13"/>
        <v>11.8</v>
      </c>
      <c r="J133" s="1">
        <f t="shared" si="14"/>
        <v>47.2</v>
      </c>
    </row>
    <row r="134" spans="1:10" x14ac:dyDescent="0.35">
      <c r="A134" t="s">
        <v>232</v>
      </c>
      <c r="B134" t="s">
        <v>46</v>
      </c>
      <c r="C134" t="s">
        <v>78</v>
      </c>
      <c r="D134">
        <v>20</v>
      </c>
      <c r="E134">
        <f t="shared" si="10"/>
        <v>80</v>
      </c>
      <c r="F134">
        <f t="shared" si="11"/>
        <v>0.2</v>
      </c>
      <c r="G134" s="1">
        <f t="shared" si="12"/>
        <v>0.8</v>
      </c>
      <c r="H134" s="1">
        <v>59</v>
      </c>
      <c r="I134" s="1">
        <f t="shared" si="13"/>
        <v>11.8</v>
      </c>
      <c r="J134" s="1">
        <f t="shared" si="14"/>
        <v>47.2</v>
      </c>
    </row>
    <row r="135" spans="1:10" x14ac:dyDescent="0.35">
      <c r="A135" t="s">
        <v>159</v>
      </c>
      <c r="B135" t="s">
        <v>12</v>
      </c>
      <c r="C135" t="s">
        <v>18</v>
      </c>
      <c r="D135">
        <v>53.8</v>
      </c>
      <c r="E135">
        <f t="shared" si="10"/>
        <v>46.2</v>
      </c>
      <c r="F135">
        <f t="shared" si="11"/>
        <v>0.53799999999999992</v>
      </c>
      <c r="G135" s="1">
        <f t="shared" si="12"/>
        <v>0.46200000000000002</v>
      </c>
      <c r="H135" s="1">
        <v>271</v>
      </c>
      <c r="I135" s="1">
        <f t="shared" si="13"/>
        <v>145.79799999999997</v>
      </c>
      <c r="J135" s="1">
        <f t="shared" si="14"/>
        <v>125.20200000000001</v>
      </c>
    </row>
    <row r="136" spans="1:10" x14ac:dyDescent="0.35">
      <c r="A136" t="s">
        <v>233</v>
      </c>
      <c r="B136" t="s">
        <v>46</v>
      </c>
      <c r="C136" t="s">
        <v>104</v>
      </c>
      <c r="D136">
        <v>87.4</v>
      </c>
      <c r="E136">
        <f t="shared" si="10"/>
        <v>12.599999999999994</v>
      </c>
      <c r="F136">
        <f t="shared" si="11"/>
        <v>0.87400000000000011</v>
      </c>
      <c r="G136" s="1">
        <f t="shared" si="12"/>
        <v>0.12599999999999995</v>
      </c>
      <c r="H136" s="1">
        <v>3472</v>
      </c>
      <c r="I136" s="1">
        <f t="shared" si="13"/>
        <v>3034.5280000000002</v>
      </c>
      <c r="J136" s="1">
        <f t="shared" si="14"/>
        <v>437.47199999999981</v>
      </c>
    </row>
    <row r="137" spans="1:10" x14ac:dyDescent="0.35">
      <c r="A137" t="s">
        <v>234</v>
      </c>
      <c r="B137" t="s">
        <v>46</v>
      </c>
      <c r="C137" t="s">
        <v>103</v>
      </c>
      <c r="D137">
        <v>86.3</v>
      </c>
      <c r="E137">
        <f t="shared" si="10"/>
        <v>13.700000000000003</v>
      </c>
      <c r="F137">
        <f t="shared" si="11"/>
        <v>0.86299999999999999</v>
      </c>
      <c r="G137" s="1">
        <f t="shared" si="12"/>
        <v>0.13700000000000004</v>
      </c>
      <c r="H137" s="1">
        <v>114</v>
      </c>
      <c r="I137" s="1">
        <f t="shared" si="13"/>
        <v>98.382000000000005</v>
      </c>
      <c r="J137" s="1">
        <f t="shared" si="14"/>
        <v>15.618000000000004</v>
      </c>
    </row>
    <row r="138" spans="1:10" x14ac:dyDescent="0.35">
      <c r="A138" t="s">
        <v>314</v>
      </c>
      <c r="B138" t="s">
        <v>32</v>
      </c>
      <c r="C138" t="s">
        <v>57</v>
      </c>
      <c r="D138">
        <v>14.4</v>
      </c>
      <c r="E138">
        <f t="shared" si="10"/>
        <v>85.6</v>
      </c>
      <c r="F138">
        <f t="shared" si="11"/>
        <v>0.14400000000000002</v>
      </c>
      <c r="G138" s="1">
        <f t="shared" si="12"/>
        <v>0.85599999999999998</v>
      </c>
      <c r="H138" s="1">
        <v>702</v>
      </c>
      <c r="I138" s="1">
        <f t="shared" si="13"/>
        <v>101.08800000000001</v>
      </c>
      <c r="J138" s="1">
        <f t="shared" si="14"/>
        <v>600.91200000000003</v>
      </c>
    </row>
    <row r="139" spans="1:10" x14ac:dyDescent="0.35">
      <c r="A139" t="s">
        <v>160</v>
      </c>
      <c r="B139" t="s">
        <v>12</v>
      </c>
      <c r="C139" t="s">
        <v>52</v>
      </c>
      <c r="D139">
        <v>27.1</v>
      </c>
      <c r="E139">
        <f t="shared" si="10"/>
        <v>72.900000000000006</v>
      </c>
      <c r="F139">
        <f t="shared" si="11"/>
        <v>0.27100000000000002</v>
      </c>
      <c r="G139" s="1">
        <f t="shared" si="12"/>
        <v>0.72900000000000009</v>
      </c>
      <c r="H139" s="1">
        <v>170</v>
      </c>
      <c r="I139" s="1">
        <f t="shared" si="13"/>
        <v>46.07</v>
      </c>
      <c r="J139" s="1">
        <f t="shared" si="14"/>
        <v>123.93000000000002</v>
      </c>
    </row>
    <row r="140" spans="1:10" x14ac:dyDescent="0.35">
      <c r="A140" t="s">
        <v>235</v>
      </c>
      <c r="B140" t="s">
        <v>46</v>
      </c>
      <c r="C140" t="s">
        <v>45</v>
      </c>
      <c r="D140">
        <v>45.5</v>
      </c>
      <c r="E140">
        <f t="shared" si="10"/>
        <v>54.5</v>
      </c>
      <c r="F140">
        <f t="shared" si="11"/>
        <v>0.45500000000000002</v>
      </c>
      <c r="G140" s="1">
        <f t="shared" si="12"/>
        <v>0.54500000000000004</v>
      </c>
      <c r="H140" s="1">
        <v>903</v>
      </c>
      <c r="I140" s="1">
        <f t="shared" si="13"/>
        <v>410.86500000000001</v>
      </c>
      <c r="J140" s="1">
        <f t="shared" si="14"/>
        <v>492.13500000000005</v>
      </c>
    </row>
    <row r="141" spans="1:10" x14ac:dyDescent="0.35">
      <c r="A141" t="s">
        <v>236</v>
      </c>
      <c r="B141" t="s">
        <v>46</v>
      </c>
      <c r="C141" t="s">
        <v>45</v>
      </c>
      <c r="D141">
        <v>45.5</v>
      </c>
      <c r="E141">
        <f t="shared" si="10"/>
        <v>54.5</v>
      </c>
      <c r="F141">
        <f t="shared" si="11"/>
        <v>0.45500000000000002</v>
      </c>
      <c r="G141" s="1">
        <f t="shared" si="12"/>
        <v>0.54500000000000004</v>
      </c>
      <c r="H141" s="1">
        <v>903</v>
      </c>
      <c r="I141" s="1">
        <f t="shared" si="13"/>
        <v>410.86500000000001</v>
      </c>
      <c r="J141" s="1">
        <f t="shared" si="14"/>
        <v>492.13500000000005</v>
      </c>
    </row>
    <row r="142" spans="1:10" x14ac:dyDescent="0.35">
      <c r="A142" t="s">
        <v>161</v>
      </c>
      <c r="B142" t="s">
        <v>12</v>
      </c>
      <c r="C142" t="s">
        <v>11</v>
      </c>
      <c r="D142">
        <v>51.6</v>
      </c>
      <c r="E142">
        <f t="shared" si="10"/>
        <v>48.4</v>
      </c>
      <c r="F142">
        <f t="shared" si="11"/>
        <v>0.51600000000000001</v>
      </c>
      <c r="G142" s="1">
        <f t="shared" si="12"/>
        <v>0.48399999999999999</v>
      </c>
      <c r="H142" s="1">
        <v>334</v>
      </c>
      <c r="I142" s="1">
        <f t="shared" si="13"/>
        <v>172.34399999999999</v>
      </c>
      <c r="J142" s="1">
        <f t="shared" si="14"/>
        <v>161.65600000000001</v>
      </c>
    </row>
    <row r="143" spans="1:10" x14ac:dyDescent="0.35">
      <c r="A143" t="s">
        <v>259</v>
      </c>
      <c r="B143" t="s">
        <v>10</v>
      </c>
      <c r="C143" t="s">
        <v>102</v>
      </c>
      <c r="D143">
        <v>83</v>
      </c>
      <c r="E143">
        <f t="shared" si="10"/>
        <v>17</v>
      </c>
      <c r="F143">
        <f t="shared" si="11"/>
        <v>0.83</v>
      </c>
      <c r="G143" s="1">
        <f t="shared" si="12"/>
        <v>0.17</v>
      </c>
      <c r="H143" s="1">
        <v>434</v>
      </c>
      <c r="I143" s="1">
        <f t="shared" si="13"/>
        <v>360.21999999999997</v>
      </c>
      <c r="J143" s="1">
        <f t="shared" si="14"/>
        <v>73.78</v>
      </c>
    </row>
    <row r="144" spans="1:10" x14ac:dyDescent="0.35">
      <c r="A144" t="s">
        <v>237</v>
      </c>
      <c r="B144" t="s">
        <v>46</v>
      </c>
      <c r="C144" t="s">
        <v>45</v>
      </c>
      <c r="D144">
        <v>45.5</v>
      </c>
      <c r="E144">
        <f t="shared" si="10"/>
        <v>54.5</v>
      </c>
      <c r="F144">
        <f t="shared" si="11"/>
        <v>0.45500000000000002</v>
      </c>
      <c r="G144" s="1">
        <f t="shared" si="12"/>
        <v>0.54500000000000004</v>
      </c>
      <c r="H144" s="1">
        <v>903</v>
      </c>
      <c r="I144" s="1">
        <f t="shared" si="13"/>
        <v>410.86500000000001</v>
      </c>
      <c r="J144" s="1">
        <f t="shared" si="14"/>
        <v>492.13500000000005</v>
      </c>
    </row>
    <row r="145" spans="1:10" x14ac:dyDescent="0.35">
      <c r="A145" t="s">
        <v>238</v>
      </c>
      <c r="B145" t="s">
        <v>46</v>
      </c>
      <c r="C145" t="s">
        <v>45</v>
      </c>
      <c r="D145">
        <v>45.5</v>
      </c>
      <c r="E145">
        <f t="shared" si="10"/>
        <v>54.5</v>
      </c>
      <c r="F145">
        <f t="shared" si="11"/>
        <v>0.45500000000000002</v>
      </c>
      <c r="G145" s="1">
        <f t="shared" si="12"/>
        <v>0.54500000000000004</v>
      </c>
      <c r="H145" s="1">
        <v>903</v>
      </c>
      <c r="I145" s="1">
        <f t="shared" si="13"/>
        <v>410.86500000000001</v>
      </c>
      <c r="J145" s="1">
        <f t="shared" si="14"/>
        <v>492.13500000000005</v>
      </c>
    </row>
    <row r="146" spans="1:10" x14ac:dyDescent="0.35">
      <c r="A146" t="s">
        <v>162</v>
      </c>
      <c r="B146" t="s">
        <v>12</v>
      </c>
      <c r="C146" t="s">
        <v>17</v>
      </c>
      <c r="D146">
        <v>48</v>
      </c>
      <c r="E146">
        <f t="shared" si="10"/>
        <v>52</v>
      </c>
      <c r="F146">
        <f t="shared" si="11"/>
        <v>0.48</v>
      </c>
      <c r="G146" s="1">
        <f t="shared" si="12"/>
        <v>0.52</v>
      </c>
      <c r="H146" s="1">
        <v>3478</v>
      </c>
      <c r="I146" s="1">
        <f t="shared" si="13"/>
        <v>1669.4399999999998</v>
      </c>
      <c r="J146" s="1">
        <f t="shared" si="14"/>
        <v>1808.5600000000002</v>
      </c>
    </row>
    <row r="147" spans="1:10" x14ac:dyDescent="0.35">
      <c r="A147" t="s">
        <v>239</v>
      </c>
      <c r="B147" t="s">
        <v>46</v>
      </c>
      <c r="C147" t="s">
        <v>101</v>
      </c>
      <c r="D147">
        <v>57.8</v>
      </c>
      <c r="E147">
        <f t="shared" si="10"/>
        <v>42.2</v>
      </c>
      <c r="F147">
        <f t="shared" si="11"/>
        <v>0.57799999999999996</v>
      </c>
      <c r="G147" s="1">
        <f t="shared" si="12"/>
        <v>0.42200000000000004</v>
      </c>
      <c r="H147" s="1">
        <v>354</v>
      </c>
      <c r="I147" s="1">
        <f t="shared" si="13"/>
        <v>204.61199999999999</v>
      </c>
      <c r="J147" s="1">
        <f t="shared" si="14"/>
        <v>149.38800000000001</v>
      </c>
    </row>
    <row r="148" spans="1:10" x14ac:dyDescent="0.35">
      <c r="A148" t="s">
        <v>163</v>
      </c>
      <c r="B148" t="s">
        <v>12</v>
      </c>
      <c r="C148" t="s">
        <v>100</v>
      </c>
      <c r="D148">
        <v>48.5</v>
      </c>
      <c r="E148">
        <f t="shared" si="10"/>
        <v>51.5</v>
      </c>
      <c r="F148">
        <f t="shared" si="11"/>
        <v>0.48499999999999999</v>
      </c>
      <c r="G148" s="1">
        <f t="shared" si="12"/>
        <v>0.51500000000000001</v>
      </c>
      <c r="H148" s="1">
        <v>228</v>
      </c>
      <c r="I148" s="1">
        <f t="shared" si="13"/>
        <v>110.58</v>
      </c>
      <c r="J148" s="1">
        <f t="shared" si="14"/>
        <v>117.42</v>
      </c>
    </row>
    <row r="149" spans="1:10" x14ac:dyDescent="0.35">
      <c r="A149" t="s">
        <v>164</v>
      </c>
      <c r="B149" t="s">
        <v>12</v>
      </c>
      <c r="C149" t="s">
        <v>58</v>
      </c>
      <c r="D149">
        <v>51.3</v>
      </c>
      <c r="E149">
        <f t="shared" si="10"/>
        <v>48.7</v>
      </c>
      <c r="F149">
        <f t="shared" si="11"/>
        <v>0.51300000000000001</v>
      </c>
      <c r="G149" s="1">
        <f t="shared" si="12"/>
        <v>0.48700000000000004</v>
      </c>
      <c r="H149" s="1">
        <v>65</v>
      </c>
      <c r="I149" s="1">
        <f t="shared" si="13"/>
        <v>33.344999999999999</v>
      </c>
      <c r="J149" s="1">
        <f t="shared" si="14"/>
        <v>31.655000000000001</v>
      </c>
    </row>
    <row r="150" spans="1:10" x14ac:dyDescent="0.35">
      <c r="A150" t="s">
        <v>240</v>
      </c>
      <c r="B150" t="s">
        <v>46</v>
      </c>
      <c r="C150" t="s">
        <v>45</v>
      </c>
      <c r="D150">
        <v>45.5</v>
      </c>
      <c r="E150">
        <f t="shared" si="10"/>
        <v>54.5</v>
      </c>
      <c r="F150">
        <f t="shared" si="11"/>
        <v>0.45500000000000002</v>
      </c>
      <c r="G150" s="1">
        <f t="shared" si="12"/>
        <v>0.54500000000000004</v>
      </c>
      <c r="H150" s="1">
        <v>903</v>
      </c>
      <c r="I150" s="1">
        <f t="shared" si="13"/>
        <v>410.86500000000001</v>
      </c>
      <c r="J150" s="1">
        <f t="shared" si="14"/>
        <v>492.13500000000005</v>
      </c>
    </row>
    <row r="151" spans="1:10" x14ac:dyDescent="0.35">
      <c r="A151" t="s">
        <v>274</v>
      </c>
      <c r="B151" t="s">
        <v>14</v>
      </c>
      <c r="C151" t="s">
        <v>17</v>
      </c>
      <c r="D151">
        <v>49.8</v>
      </c>
      <c r="E151">
        <f t="shared" si="10"/>
        <v>50.2</v>
      </c>
      <c r="F151">
        <f t="shared" si="11"/>
        <v>0.498</v>
      </c>
      <c r="G151" s="1">
        <f t="shared" si="12"/>
        <v>0.502</v>
      </c>
      <c r="H151" s="1">
        <v>25</v>
      </c>
      <c r="I151" s="1">
        <f t="shared" si="13"/>
        <v>12.45</v>
      </c>
      <c r="J151" s="1">
        <f t="shared" si="14"/>
        <v>12.55</v>
      </c>
    </row>
    <row r="152" spans="1:10" x14ac:dyDescent="0.35">
      <c r="A152" t="s">
        <v>165</v>
      </c>
      <c r="B152" t="s">
        <v>12</v>
      </c>
      <c r="C152" t="s">
        <v>52</v>
      </c>
      <c r="D152">
        <v>27.1</v>
      </c>
      <c r="E152">
        <f t="shared" si="10"/>
        <v>72.900000000000006</v>
      </c>
      <c r="F152">
        <f t="shared" si="11"/>
        <v>0.27100000000000002</v>
      </c>
      <c r="G152" s="1">
        <f t="shared" si="12"/>
        <v>0.72900000000000009</v>
      </c>
      <c r="H152" s="1">
        <v>170</v>
      </c>
      <c r="I152" s="1">
        <f t="shared" si="13"/>
        <v>46.07</v>
      </c>
      <c r="J152" s="1">
        <f t="shared" si="14"/>
        <v>123.93000000000002</v>
      </c>
    </row>
    <row r="153" spans="1:10" x14ac:dyDescent="0.35">
      <c r="A153" t="s">
        <v>326</v>
      </c>
      <c r="B153" t="s">
        <v>44</v>
      </c>
      <c r="C153" t="s">
        <v>99</v>
      </c>
      <c r="D153">
        <v>8.3000000000000007</v>
      </c>
      <c r="E153">
        <f t="shared" si="10"/>
        <v>91.7</v>
      </c>
      <c r="F153">
        <f t="shared" si="11"/>
        <v>8.3000000000000004E-2</v>
      </c>
      <c r="G153" s="1">
        <f t="shared" si="12"/>
        <v>0.91700000000000004</v>
      </c>
      <c r="H153" s="1">
        <v>211</v>
      </c>
      <c r="I153" s="1">
        <f t="shared" si="13"/>
        <v>17.513000000000002</v>
      </c>
      <c r="J153" s="1">
        <f t="shared" si="14"/>
        <v>193.48699999999999</v>
      </c>
    </row>
    <row r="154" spans="1:10" x14ac:dyDescent="0.35">
      <c r="A154" t="s">
        <v>166</v>
      </c>
      <c r="B154" t="s">
        <v>12</v>
      </c>
      <c r="C154" t="s">
        <v>18</v>
      </c>
      <c r="D154">
        <v>53.8</v>
      </c>
      <c r="E154">
        <f t="shared" si="10"/>
        <v>46.2</v>
      </c>
      <c r="F154">
        <f t="shared" si="11"/>
        <v>0.53799999999999992</v>
      </c>
      <c r="G154" s="1">
        <f t="shared" si="12"/>
        <v>0.46200000000000002</v>
      </c>
      <c r="H154" s="1">
        <v>271</v>
      </c>
      <c r="I154" s="1">
        <f t="shared" si="13"/>
        <v>145.79799999999997</v>
      </c>
      <c r="J154" s="1">
        <f t="shared" si="14"/>
        <v>125.20200000000001</v>
      </c>
    </row>
    <row r="155" spans="1:10" x14ac:dyDescent="0.35">
      <c r="A155" t="s">
        <v>207</v>
      </c>
      <c r="B155" t="s">
        <v>42</v>
      </c>
      <c r="C155" t="s">
        <v>98</v>
      </c>
      <c r="D155">
        <v>2.2000000000000002</v>
      </c>
      <c r="E155">
        <f t="shared" si="10"/>
        <v>97.8</v>
      </c>
      <c r="F155">
        <f t="shared" si="11"/>
        <v>2.2000000000000002E-2</v>
      </c>
      <c r="G155" s="1">
        <f t="shared" si="12"/>
        <v>0.97799999999999998</v>
      </c>
      <c r="H155" s="1">
        <v>635</v>
      </c>
      <c r="I155" s="1">
        <f t="shared" si="13"/>
        <v>13.97</v>
      </c>
      <c r="J155" s="1">
        <f t="shared" si="14"/>
        <v>621.03</v>
      </c>
    </row>
    <row r="156" spans="1:10" x14ac:dyDescent="0.35">
      <c r="A156" t="s">
        <v>167</v>
      </c>
      <c r="B156" t="s">
        <v>12</v>
      </c>
      <c r="C156" t="s">
        <v>18</v>
      </c>
      <c r="D156">
        <v>53.8</v>
      </c>
      <c r="E156">
        <f t="shared" si="10"/>
        <v>46.2</v>
      </c>
      <c r="F156">
        <f t="shared" si="11"/>
        <v>0.53799999999999992</v>
      </c>
      <c r="G156" s="1">
        <f t="shared" si="12"/>
        <v>0.46200000000000002</v>
      </c>
      <c r="H156" s="1">
        <v>271</v>
      </c>
      <c r="I156" s="1">
        <f t="shared" si="13"/>
        <v>145.79799999999997</v>
      </c>
      <c r="J156" s="1">
        <f t="shared" si="14"/>
        <v>125.20200000000001</v>
      </c>
    </row>
    <row r="157" spans="1:10" x14ac:dyDescent="0.35">
      <c r="A157" t="s">
        <v>344</v>
      </c>
      <c r="B157" t="s">
        <v>32</v>
      </c>
      <c r="C157" t="s">
        <v>57</v>
      </c>
      <c r="D157">
        <v>14.4</v>
      </c>
      <c r="E157">
        <f t="shared" si="10"/>
        <v>85.6</v>
      </c>
      <c r="F157">
        <f t="shared" si="11"/>
        <v>0.14400000000000002</v>
      </c>
      <c r="G157" s="1">
        <f t="shared" si="12"/>
        <v>0.85599999999999998</v>
      </c>
      <c r="H157" s="1">
        <v>702</v>
      </c>
      <c r="I157" s="1">
        <f t="shared" si="13"/>
        <v>101.08800000000001</v>
      </c>
      <c r="J157" s="1">
        <f t="shared" si="14"/>
        <v>600.91200000000003</v>
      </c>
    </row>
    <row r="158" spans="1:10" x14ac:dyDescent="0.35">
      <c r="A158" t="s">
        <v>285</v>
      </c>
      <c r="B158" t="s">
        <v>6</v>
      </c>
      <c r="C158" t="s">
        <v>17</v>
      </c>
      <c r="D158">
        <v>41.9</v>
      </c>
      <c r="E158">
        <f t="shared" si="10"/>
        <v>58.1</v>
      </c>
      <c r="F158">
        <f t="shared" si="11"/>
        <v>0.41899999999999998</v>
      </c>
      <c r="G158" s="1">
        <f t="shared" si="12"/>
        <v>0.58099999999999996</v>
      </c>
      <c r="H158" s="1">
        <v>20906</v>
      </c>
      <c r="I158" s="1">
        <f t="shared" si="13"/>
        <v>8759.6139999999996</v>
      </c>
      <c r="J158" s="1">
        <f t="shared" si="14"/>
        <v>12146.385999999999</v>
      </c>
    </row>
    <row r="159" spans="1:10" x14ac:dyDescent="0.35">
      <c r="A159" t="s">
        <v>168</v>
      </c>
      <c r="B159" t="s">
        <v>12</v>
      </c>
      <c r="C159" t="s">
        <v>17</v>
      </c>
      <c r="D159">
        <v>48</v>
      </c>
      <c r="E159">
        <f t="shared" si="10"/>
        <v>52</v>
      </c>
      <c r="F159">
        <f t="shared" si="11"/>
        <v>0.48</v>
      </c>
      <c r="G159" s="1">
        <f t="shared" si="12"/>
        <v>0.52</v>
      </c>
      <c r="H159" s="1">
        <v>3478</v>
      </c>
      <c r="I159" s="1">
        <f t="shared" si="13"/>
        <v>1669.4399999999998</v>
      </c>
      <c r="J159" s="1">
        <f t="shared" si="14"/>
        <v>1808.5600000000002</v>
      </c>
    </row>
    <row r="160" spans="1:10" x14ac:dyDescent="0.35">
      <c r="A160" t="s">
        <v>213</v>
      </c>
      <c r="B160" t="s">
        <v>20</v>
      </c>
      <c r="C160" t="s">
        <v>17</v>
      </c>
      <c r="D160">
        <v>72.8</v>
      </c>
      <c r="E160">
        <f t="shared" si="10"/>
        <v>27.200000000000003</v>
      </c>
      <c r="F160">
        <f t="shared" si="11"/>
        <v>0.72799999999999998</v>
      </c>
      <c r="G160" s="1">
        <f t="shared" si="12"/>
        <v>0.27200000000000002</v>
      </c>
      <c r="H160" s="1">
        <v>9403</v>
      </c>
      <c r="I160" s="1">
        <f t="shared" si="13"/>
        <v>6845.384</v>
      </c>
      <c r="J160" s="1">
        <f t="shared" si="14"/>
        <v>2557.616</v>
      </c>
    </row>
    <row r="161" spans="1:10" x14ac:dyDescent="0.35">
      <c r="A161" t="s">
        <v>169</v>
      </c>
      <c r="B161" t="s">
        <v>12</v>
      </c>
      <c r="C161" t="s">
        <v>36</v>
      </c>
      <c r="D161">
        <v>43.6</v>
      </c>
      <c r="E161">
        <f t="shared" si="10"/>
        <v>56.4</v>
      </c>
      <c r="F161">
        <f t="shared" si="11"/>
        <v>0.436</v>
      </c>
      <c r="G161" s="1">
        <f t="shared" si="12"/>
        <v>0.56399999999999995</v>
      </c>
      <c r="H161" s="1">
        <v>167</v>
      </c>
      <c r="I161" s="1">
        <f t="shared" si="13"/>
        <v>72.811999999999998</v>
      </c>
      <c r="J161" s="1">
        <f t="shared" si="14"/>
        <v>94.187999999999988</v>
      </c>
    </row>
    <row r="162" spans="1:10" x14ac:dyDescent="0.35">
      <c r="A162" t="s">
        <v>214</v>
      </c>
      <c r="B162" t="s">
        <v>20</v>
      </c>
      <c r="C162" t="s">
        <v>97</v>
      </c>
      <c r="D162">
        <v>46.6</v>
      </c>
      <c r="E162">
        <f t="shared" si="10"/>
        <v>53.4</v>
      </c>
      <c r="F162">
        <f t="shared" si="11"/>
        <v>0.46600000000000003</v>
      </c>
      <c r="G162" s="1">
        <f t="shared" si="12"/>
        <v>0.53400000000000003</v>
      </c>
      <c r="H162" s="1">
        <v>1013</v>
      </c>
      <c r="I162" s="1">
        <f t="shared" si="13"/>
        <v>472.05800000000005</v>
      </c>
      <c r="J162" s="1">
        <f t="shared" si="14"/>
        <v>540.94200000000001</v>
      </c>
    </row>
    <row r="163" spans="1:10" x14ac:dyDescent="0.35">
      <c r="A163" t="s">
        <v>202</v>
      </c>
      <c r="B163" t="s">
        <v>64</v>
      </c>
      <c r="C163" t="s">
        <v>96</v>
      </c>
      <c r="D163">
        <v>21.5</v>
      </c>
      <c r="E163">
        <f t="shared" si="10"/>
        <v>78.5</v>
      </c>
      <c r="F163">
        <f t="shared" si="11"/>
        <v>0.215</v>
      </c>
      <c r="G163" s="1">
        <f t="shared" si="12"/>
        <v>0.78500000000000003</v>
      </c>
      <c r="H163" s="1">
        <v>402</v>
      </c>
      <c r="I163" s="1">
        <f t="shared" si="13"/>
        <v>86.429999999999993</v>
      </c>
      <c r="J163" s="1">
        <f t="shared" si="14"/>
        <v>315.57</v>
      </c>
    </row>
    <row r="164" spans="1:10" x14ac:dyDescent="0.35">
      <c r="A164" t="s">
        <v>318</v>
      </c>
      <c r="B164" t="s">
        <v>51</v>
      </c>
      <c r="C164" t="s">
        <v>17</v>
      </c>
      <c r="D164">
        <v>48.7</v>
      </c>
      <c r="E164">
        <f t="shared" si="10"/>
        <v>51.3</v>
      </c>
      <c r="F164">
        <f t="shared" si="11"/>
        <v>0.48700000000000004</v>
      </c>
      <c r="G164" s="1">
        <f t="shared" si="12"/>
        <v>0.51300000000000001</v>
      </c>
      <c r="H164" s="1">
        <v>1031</v>
      </c>
      <c r="I164" s="1">
        <f t="shared" si="13"/>
        <v>502.09700000000004</v>
      </c>
      <c r="J164" s="1">
        <f t="shared" si="14"/>
        <v>528.90300000000002</v>
      </c>
    </row>
    <row r="165" spans="1:10" x14ac:dyDescent="0.35">
      <c r="A165" t="s">
        <v>260</v>
      </c>
      <c r="B165" t="s">
        <v>10</v>
      </c>
      <c r="C165" t="s">
        <v>9</v>
      </c>
      <c r="D165">
        <v>39.5</v>
      </c>
      <c r="E165">
        <f t="shared" si="10"/>
        <v>60.5</v>
      </c>
      <c r="F165">
        <f t="shared" si="11"/>
        <v>0.39500000000000002</v>
      </c>
      <c r="G165" s="1">
        <f t="shared" si="12"/>
        <v>0.60499999999999998</v>
      </c>
      <c r="H165" s="1">
        <v>1189</v>
      </c>
      <c r="I165" s="1">
        <f t="shared" si="13"/>
        <v>469.65500000000003</v>
      </c>
      <c r="J165" s="1">
        <f t="shared" si="14"/>
        <v>719.34500000000003</v>
      </c>
    </row>
    <row r="166" spans="1:10" x14ac:dyDescent="0.35">
      <c r="A166" t="s">
        <v>241</v>
      </c>
      <c r="B166" t="s">
        <v>46</v>
      </c>
      <c r="C166" t="s">
        <v>45</v>
      </c>
      <c r="D166">
        <v>45.5</v>
      </c>
      <c r="E166">
        <f t="shared" si="10"/>
        <v>54.5</v>
      </c>
      <c r="F166">
        <f t="shared" si="11"/>
        <v>0.45500000000000002</v>
      </c>
      <c r="G166" s="1">
        <f t="shared" si="12"/>
        <v>0.54500000000000004</v>
      </c>
      <c r="H166" s="1">
        <v>903</v>
      </c>
      <c r="I166" s="1">
        <f t="shared" si="13"/>
        <v>410.86500000000001</v>
      </c>
      <c r="J166" s="1">
        <f t="shared" si="14"/>
        <v>492.13500000000005</v>
      </c>
    </row>
    <row r="167" spans="1:10" x14ac:dyDescent="0.35">
      <c r="A167" t="s">
        <v>275</v>
      </c>
      <c r="B167" t="s">
        <v>14</v>
      </c>
      <c r="C167" t="s">
        <v>95</v>
      </c>
      <c r="D167">
        <v>78.400000000000006</v>
      </c>
      <c r="E167">
        <f t="shared" si="10"/>
        <v>21.599999999999994</v>
      </c>
      <c r="F167">
        <f t="shared" si="11"/>
        <v>0.78400000000000003</v>
      </c>
      <c r="G167" s="1">
        <f t="shared" si="12"/>
        <v>0.21599999999999994</v>
      </c>
      <c r="H167" s="1">
        <v>153</v>
      </c>
      <c r="I167" s="1">
        <f t="shared" si="13"/>
        <v>119.952</v>
      </c>
      <c r="J167" s="1">
        <f t="shared" si="14"/>
        <v>33.047999999999988</v>
      </c>
    </row>
    <row r="168" spans="1:10" x14ac:dyDescent="0.35">
      <c r="A168" t="s">
        <v>170</v>
      </c>
      <c r="B168" t="s">
        <v>12</v>
      </c>
      <c r="C168" t="s">
        <v>94</v>
      </c>
      <c r="D168">
        <v>76.2</v>
      </c>
      <c r="E168">
        <f t="shared" si="10"/>
        <v>23.799999999999997</v>
      </c>
      <c r="F168">
        <f t="shared" si="11"/>
        <v>0.76200000000000001</v>
      </c>
      <c r="G168" s="1">
        <f t="shared" si="12"/>
        <v>0.23799999999999996</v>
      </c>
      <c r="H168" s="1">
        <v>140</v>
      </c>
      <c r="I168" s="1">
        <f t="shared" si="13"/>
        <v>106.68</v>
      </c>
      <c r="J168" s="1">
        <f t="shared" si="14"/>
        <v>33.319999999999993</v>
      </c>
    </row>
    <row r="169" spans="1:10" x14ac:dyDescent="0.35">
      <c r="A169" t="s">
        <v>194</v>
      </c>
      <c r="B169" t="s">
        <v>4</v>
      </c>
      <c r="C169" t="s">
        <v>93</v>
      </c>
      <c r="D169">
        <v>51.9</v>
      </c>
      <c r="E169">
        <f t="shared" si="10"/>
        <v>48.1</v>
      </c>
      <c r="F169">
        <f t="shared" si="11"/>
        <v>0.51900000000000002</v>
      </c>
      <c r="G169" s="1">
        <f t="shared" si="12"/>
        <v>0.48100000000000004</v>
      </c>
      <c r="H169" s="1">
        <v>319</v>
      </c>
      <c r="I169" s="1">
        <f t="shared" si="13"/>
        <v>165.56100000000001</v>
      </c>
      <c r="J169" s="1">
        <f t="shared" si="14"/>
        <v>153.43900000000002</v>
      </c>
    </row>
    <row r="170" spans="1:10" x14ac:dyDescent="0.35">
      <c r="A170" t="s">
        <v>242</v>
      </c>
      <c r="B170" t="s">
        <v>46</v>
      </c>
      <c r="C170" t="s">
        <v>17</v>
      </c>
      <c r="D170">
        <v>75.900000000000006</v>
      </c>
      <c r="E170">
        <f t="shared" si="10"/>
        <v>24.099999999999994</v>
      </c>
      <c r="F170">
        <f t="shared" si="11"/>
        <v>0.75900000000000001</v>
      </c>
      <c r="G170" s="1">
        <f t="shared" si="12"/>
        <v>0.24099999999999994</v>
      </c>
      <c r="H170" s="1">
        <v>10099</v>
      </c>
      <c r="I170" s="1">
        <f t="shared" si="13"/>
        <v>7665.1410000000005</v>
      </c>
      <c r="J170" s="1">
        <f t="shared" si="14"/>
        <v>2433.8589999999995</v>
      </c>
    </row>
    <row r="171" spans="1:10" x14ac:dyDescent="0.35">
      <c r="A171" t="s">
        <v>220</v>
      </c>
      <c r="B171" t="s">
        <v>92</v>
      </c>
      <c r="C171" t="s">
        <v>17</v>
      </c>
      <c r="D171">
        <v>27.1</v>
      </c>
      <c r="E171">
        <f t="shared" si="10"/>
        <v>72.900000000000006</v>
      </c>
      <c r="F171">
        <f t="shared" si="11"/>
        <v>0.27100000000000002</v>
      </c>
      <c r="G171" s="1">
        <f t="shared" si="12"/>
        <v>0.72900000000000009</v>
      </c>
      <c r="H171" s="1">
        <v>987</v>
      </c>
      <c r="I171" s="1">
        <f t="shared" si="13"/>
        <v>267.47700000000003</v>
      </c>
      <c r="J171" s="1">
        <f t="shared" si="14"/>
        <v>719.52300000000014</v>
      </c>
    </row>
    <row r="172" spans="1:10" x14ac:dyDescent="0.35">
      <c r="A172" t="s">
        <v>319</v>
      </c>
      <c r="B172" t="s">
        <v>51</v>
      </c>
      <c r="C172" t="s">
        <v>91</v>
      </c>
      <c r="D172">
        <v>57</v>
      </c>
      <c r="E172">
        <f t="shared" si="10"/>
        <v>43</v>
      </c>
      <c r="F172">
        <f t="shared" si="11"/>
        <v>0.56999999999999995</v>
      </c>
      <c r="G172" s="1">
        <f t="shared" si="12"/>
        <v>0.43</v>
      </c>
      <c r="H172" s="1">
        <v>1031</v>
      </c>
      <c r="I172" s="1">
        <f t="shared" si="13"/>
        <v>587.66999999999996</v>
      </c>
      <c r="J172" s="1">
        <f t="shared" si="14"/>
        <v>443.33</v>
      </c>
    </row>
    <row r="173" spans="1:10" x14ac:dyDescent="0.35">
      <c r="A173" t="s">
        <v>290</v>
      </c>
      <c r="B173" t="s">
        <v>40</v>
      </c>
      <c r="C173" t="s">
        <v>90</v>
      </c>
      <c r="D173">
        <v>89.1</v>
      </c>
      <c r="E173">
        <f t="shared" si="10"/>
        <v>10.900000000000006</v>
      </c>
      <c r="F173">
        <f t="shared" si="11"/>
        <v>0.8909999999999999</v>
      </c>
      <c r="G173" s="1">
        <f t="shared" si="12"/>
        <v>0.10900000000000006</v>
      </c>
      <c r="H173" s="1">
        <v>1196</v>
      </c>
      <c r="I173" s="1">
        <f t="shared" si="13"/>
        <v>1065.636</v>
      </c>
      <c r="J173" s="1">
        <f t="shared" si="14"/>
        <v>130.36400000000006</v>
      </c>
    </row>
    <row r="174" spans="1:10" x14ac:dyDescent="0.35">
      <c r="A174" t="s">
        <v>291</v>
      </c>
      <c r="B174" t="s">
        <v>40</v>
      </c>
      <c r="C174" t="s">
        <v>89</v>
      </c>
      <c r="D174">
        <v>88.1</v>
      </c>
      <c r="E174">
        <f t="shared" si="10"/>
        <v>11.900000000000006</v>
      </c>
      <c r="F174">
        <f t="shared" si="11"/>
        <v>0.88099999999999989</v>
      </c>
      <c r="G174" s="1">
        <f t="shared" si="12"/>
        <v>0.11900000000000005</v>
      </c>
      <c r="H174" s="1">
        <v>84</v>
      </c>
      <c r="I174" s="1">
        <f t="shared" si="13"/>
        <v>74.003999999999991</v>
      </c>
      <c r="J174" s="1">
        <f t="shared" si="14"/>
        <v>9.996000000000004</v>
      </c>
    </row>
    <row r="175" spans="1:10" x14ac:dyDescent="0.35">
      <c r="A175" t="s">
        <v>171</v>
      </c>
      <c r="B175" t="s">
        <v>12</v>
      </c>
      <c r="C175" t="s">
        <v>58</v>
      </c>
      <c r="D175">
        <v>51.3</v>
      </c>
      <c r="E175">
        <f t="shared" si="10"/>
        <v>48.7</v>
      </c>
      <c r="F175">
        <f t="shared" si="11"/>
        <v>0.51300000000000001</v>
      </c>
      <c r="G175" s="1">
        <f t="shared" si="12"/>
        <v>0.48700000000000004</v>
      </c>
      <c r="H175" s="1">
        <v>65</v>
      </c>
      <c r="I175" s="1">
        <f t="shared" si="13"/>
        <v>33.344999999999999</v>
      </c>
      <c r="J175" s="1">
        <f t="shared" si="14"/>
        <v>31.655000000000001</v>
      </c>
    </row>
    <row r="176" spans="1:10" x14ac:dyDescent="0.35">
      <c r="A176" t="s">
        <v>276</v>
      </c>
      <c r="B176" t="s">
        <v>14</v>
      </c>
      <c r="C176" t="s">
        <v>17</v>
      </c>
      <c r="D176">
        <v>49.8</v>
      </c>
      <c r="E176">
        <f t="shared" si="10"/>
        <v>50.2</v>
      </c>
      <c r="F176">
        <f t="shared" si="11"/>
        <v>0.498</v>
      </c>
      <c r="G176" s="1">
        <f t="shared" si="12"/>
        <v>0.502</v>
      </c>
      <c r="H176" s="1">
        <v>304</v>
      </c>
      <c r="I176" s="1">
        <f t="shared" si="13"/>
        <v>151.392</v>
      </c>
      <c r="J176" s="1">
        <f t="shared" si="14"/>
        <v>152.608</v>
      </c>
    </row>
    <row r="177" spans="1:10" x14ac:dyDescent="0.35">
      <c r="A177" t="s">
        <v>251</v>
      </c>
      <c r="B177" t="s">
        <v>86</v>
      </c>
      <c r="C177" t="s">
        <v>88</v>
      </c>
      <c r="D177">
        <v>4.0999999999999996</v>
      </c>
      <c r="E177">
        <f t="shared" si="10"/>
        <v>95.9</v>
      </c>
      <c r="F177">
        <f t="shared" si="11"/>
        <v>4.0999999999999995E-2</v>
      </c>
      <c r="G177" s="1">
        <f t="shared" si="12"/>
        <v>0.95900000000000007</v>
      </c>
      <c r="H177" s="1">
        <v>190</v>
      </c>
      <c r="I177" s="1">
        <f t="shared" si="13"/>
        <v>7.7899999999999991</v>
      </c>
      <c r="J177" s="1">
        <f t="shared" si="14"/>
        <v>182.21</v>
      </c>
    </row>
    <row r="178" spans="1:10" x14ac:dyDescent="0.35">
      <c r="A178" t="s">
        <v>345</v>
      </c>
      <c r="B178" t="s">
        <v>51</v>
      </c>
      <c r="C178" t="s">
        <v>87</v>
      </c>
      <c r="D178">
        <v>49.2</v>
      </c>
      <c r="E178">
        <f t="shared" si="10"/>
        <v>50.8</v>
      </c>
      <c r="F178">
        <f t="shared" si="11"/>
        <v>0.49200000000000005</v>
      </c>
      <c r="G178" s="1">
        <f t="shared" si="12"/>
        <v>0.50800000000000001</v>
      </c>
      <c r="H178" s="1">
        <v>2721</v>
      </c>
      <c r="I178" s="1">
        <f t="shared" si="13"/>
        <v>1338.7320000000002</v>
      </c>
      <c r="J178" s="1">
        <f t="shared" si="14"/>
        <v>1382.268</v>
      </c>
    </row>
    <row r="179" spans="1:10" x14ac:dyDescent="0.35">
      <c r="A179" t="s">
        <v>252</v>
      </c>
      <c r="B179" t="s">
        <v>86</v>
      </c>
      <c r="C179" t="s">
        <v>17</v>
      </c>
      <c r="D179">
        <v>4.0999999999999996</v>
      </c>
      <c r="E179">
        <f t="shared" si="10"/>
        <v>95.9</v>
      </c>
      <c r="F179">
        <f t="shared" si="11"/>
        <v>4.0999999999999995E-2</v>
      </c>
      <c r="G179" s="1">
        <f t="shared" si="12"/>
        <v>0.95900000000000007</v>
      </c>
      <c r="H179" s="1">
        <v>4881</v>
      </c>
      <c r="I179" s="1">
        <f t="shared" si="13"/>
        <v>200.12099999999998</v>
      </c>
      <c r="J179" s="1">
        <f t="shared" si="14"/>
        <v>4680.8790000000008</v>
      </c>
    </row>
    <row r="180" spans="1:10" x14ac:dyDescent="0.35">
      <c r="A180" t="s">
        <v>327</v>
      </c>
      <c r="B180" t="s">
        <v>44</v>
      </c>
      <c r="C180" t="s">
        <v>17</v>
      </c>
      <c r="D180">
        <v>21.4</v>
      </c>
      <c r="E180">
        <f t="shared" si="10"/>
        <v>78.599999999999994</v>
      </c>
      <c r="F180">
        <f t="shared" si="11"/>
        <v>0.214</v>
      </c>
      <c r="G180" s="1">
        <f t="shared" si="12"/>
        <v>0.78599999999999992</v>
      </c>
      <c r="H180" s="1">
        <v>11706</v>
      </c>
      <c r="I180" s="1">
        <f t="shared" si="13"/>
        <v>2505.0839999999998</v>
      </c>
      <c r="J180" s="1">
        <f t="shared" si="14"/>
        <v>9200.9159999999993</v>
      </c>
    </row>
    <row r="181" spans="1:10" x14ac:dyDescent="0.35">
      <c r="A181" t="s">
        <v>320</v>
      </c>
      <c r="B181" t="s">
        <v>51</v>
      </c>
      <c r="C181" t="s">
        <v>85</v>
      </c>
      <c r="D181">
        <v>31.6</v>
      </c>
      <c r="E181">
        <f t="shared" si="10"/>
        <v>68.400000000000006</v>
      </c>
      <c r="F181">
        <f t="shared" si="11"/>
        <v>0.316</v>
      </c>
      <c r="G181" s="1">
        <f t="shared" si="12"/>
        <v>0.68400000000000005</v>
      </c>
      <c r="H181" s="1">
        <v>638</v>
      </c>
      <c r="I181" s="1">
        <f t="shared" si="13"/>
        <v>201.608</v>
      </c>
      <c r="J181" s="1">
        <f t="shared" si="14"/>
        <v>436.39200000000005</v>
      </c>
    </row>
    <row r="182" spans="1:10" x14ac:dyDescent="0.35">
      <c r="A182" t="s">
        <v>172</v>
      </c>
      <c r="B182" t="s">
        <v>12</v>
      </c>
      <c r="C182" t="s">
        <v>52</v>
      </c>
      <c r="D182">
        <v>27.1</v>
      </c>
      <c r="E182">
        <f t="shared" si="10"/>
        <v>72.900000000000006</v>
      </c>
      <c r="F182">
        <f t="shared" si="11"/>
        <v>0.27100000000000002</v>
      </c>
      <c r="G182" s="1">
        <f t="shared" si="12"/>
        <v>0.72900000000000009</v>
      </c>
      <c r="H182" s="1">
        <v>170</v>
      </c>
      <c r="I182" s="1">
        <f t="shared" si="13"/>
        <v>46.07</v>
      </c>
      <c r="J182" s="1">
        <f t="shared" si="14"/>
        <v>123.93000000000002</v>
      </c>
    </row>
    <row r="183" spans="1:10" x14ac:dyDescent="0.35">
      <c r="A183" t="s">
        <v>215</v>
      </c>
      <c r="B183" t="s">
        <v>20</v>
      </c>
      <c r="C183" t="s">
        <v>84</v>
      </c>
      <c r="D183">
        <v>78.8</v>
      </c>
      <c r="E183">
        <f t="shared" si="10"/>
        <v>21.200000000000003</v>
      </c>
      <c r="F183">
        <f t="shared" si="11"/>
        <v>0.78799999999999992</v>
      </c>
      <c r="G183" s="1">
        <f t="shared" si="12"/>
        <v>0.21200000000000002</v>
      </c>
      <c r="H183" s="1">
        <v>204</v>
      </c>
      <c r="I183" s="1">
        <f t="shared" si="13"/>
        <v>160.75199999999998</v>
      </c>
      <c r="J183" s="1">
        <f t="shared" si="14"/>
        <v>43.248000000000005</v>
      </c>
    </row>
    <row r="184" spans="1:10" x14ac:dyDescent="0.35">
      <c r="A184" t="s">
        <v>277</v>
      </c>
      <c r="B184" t="s">
        <v>14</v>
      </c>
      <c r="C184" t="s">
        <v>17</v>
      </c>
      <c r="D184">
        <v>49.8</v>
      </c>
      <c r="E184">
        <f t="shared" si="10"/>
        <v>50.2</v>
      </c>
      <c r="F184">
        <f t="shared" si="11"/>
        <v>0.498</v>
      </c>
      <c r="G184" s="1">
        <f t="shared" si="12"/>
        <v>0.502</v>
      </c>
      <c r="H184" s="1">
        <v>1870</v>
      </c>
      <c r="I184" s="1">
        <f t="shared" si="13"/>
        <v>931.26</v>
      </c>
      <c r="J184" s="1">
        <f t="shared" si="14"/>
        <v>938.74</v>
      </c>
    </row>
    <row r="185" spans="1:10" x14ac:dyDescent="0.35">
      <c r="A185" t="s">
        <v>173</v>
      </c>
      <c r="B185" t="s">
        <v>12</v>
      </c>
      <c r="C185" t="s">
        <v>18</v>
      </c>
      <c r="D185">
        <v>53.8</v>
      </c>
      <c r="E185">
        <f t="shared" si="10"/>
        <v>46.2</v>
      </c>
      <c r="F185">
        <f t="shared" si="11"/>
        <v>0.53799999999999992</v>
      </c>
      <c r="G185" s="1">
        <f t="shared" si="12"/>
        <v>0.46200000000000002</v>
      </c>
      <c r="H185" s="1">
        <v>271</v>
      </c>
      <c r="I185" s="1">
        <f t="shared" si="13"/>
        <v>145.79799999999997</v>
      </c>
      <c r="J185" s="1">
        <f t="shared" si="14"/>
        <v>125.20200000000001</v>
      </c>
    </row>
    <row r="186" spans="1:10" x14ac:dyDescent="0.35">
      <c r="A186" t="s">
        <v>174</v>
      </c>
      <c r="B186" t="s">
        <v>12</v>
      </c>
      <c r="C186" t="s">
        <v>11</v>
      </c>
      <c r="D186">
        <v>51.6</v>
      </c>
      <c r="E186">
        <f t="shared" si="10"/>
        <v>48.4</v>
      </c>
      <c r="F186">
        <f t="shared" si="11"/>
        <v>0.51600000000000001</v>
      </c>
      <c r="G186" s="1">
        <f t="shared" si="12"/>
        <v>0.48399999999999999</v>
      </c>
      <c r="H186" s="1">
        <v>334</v>
      </c>
      <c r="I186" s="1">
        <f t="shared" si="13"/>
        <v>172.34399999999999</v>
      </c>
      <c r="J186" s="1">
        <f t="shared" si="14"/>
        <v>161.65600000000001</v>
      </c>
    </row>
    <row r="187" spans="1:10" x14ac:dyDescent="0.35">
      <c r="A187" t="s">
        <v>292</v>
      </c>
      <c r="B187" t="s">
        <v>40</v>
      </c>
      <c r="C187" t="s">
        <v>83</v>
      </c>
      <c r="D187">
        <v>91.9</v>
      </c>
      <c r="E187">
        <f t="shared" si="10"/>
        <v>8.0999999999999943</v>
      </c>
      <c r="F187">
        <f t="shared" si="11"/>
        <v>0.91900000000000004</v>
      </c>
      <c r="G187" s="1">
        <f t="shared" si="12"/>
        <v>8.0999999999999947E-2</v>
      </c>
      <c r="H187" s="1">
        <v>1841</v>
      </c>
      <c r="I187" s="1">
        <f t="shared" si="13"/>
        <v>1691.8790000000001</v>
      </c>
      <c r="J187" s="1">
        <f t="shared" si="14"/>
        <v>149.1209999999999</v>
      </c>
    </row>
    <row r="188" spans="1:10" x14ac:dyDescent="0.35">
      <c r="A188" t="s">
        <v>315</v>
      </c>
      <c r="B188" t="s">
        <v>32</v>
      </c>
      <c r="C188" t="s">
        <v>82</v>
      </c>
      <c r="D188">
        <v>10.5</v>
      </c>
      <c r="E188">
        <f t="shared" si="10"/>
        <v>89.5</v>
      </c>
      <c r="F188">
        <f t="shared" si="11"/>
        <v>0.105</v>
      </c>
      <c r="G188" s="1">
        <f t="shared" si="12"/>
        <v>0.89500000000000002</v>
      </c>
      <c r="H188" s="1">
        <v>103</v>
      </c>
      <c r="I188" s="1">
        <f t="shared" si="13"/>
        <v>10.815</v>
      </c>
      <c r="J188" s="1">
        <f t="shared" si="14"/>
        <v>92.185000000000002</v>
      </c>
    </row>
    <row r="189" spans="1:10" x14ac:dyDescent="0.35">
      <c r="A189" t="s">
        <v>321</v>
      </c>
      <c r="B189" t="s">
        <v>51</v>
      </c>
      <c r="C189" t="s">
        <v>81</v>
      </c>
      <c r="D189">
        <v>44.6</v>
      </c>
      <c r="E189">
        <f t="shared" si="10"/>
        <v>55.4</v>
      </c>
      <c r="F189">
        <f t="shared" si="11"/>
        <v>0.44600000000000001</v>
      </c>
      <c r="G189" s="1">
        <f t="shared" si="12"/>
        <v>0.55399999999999994</v>
      </c>
      <c r="H189" s="3">
        <v>3157</v>
      </c>
      <c r="I189" s="1">
        <f t="shared" si="13"/>
        <v>1408.0219999999999</v>
      </c>
      <c r="J189" s="1">
        <f t="shared" si="14"/>
        <v>1748.9779999999998</v>
      </c>
    </row>
    <row r="190" spans="1:10" x14ac:dyDescent="0.35">
      <c r="A190" t="s">
        <v>175</v>
      </c>
      <c r="B190" t="s">
        <v>12</v>
      </c>
      <c r="C190" t="s">
        <v>52</v>
      </c>
      <c r="D190">
        <v>27.1</v>
      </c>
      <c r="E190">
        <f t="shared" si="10"/>
        <v>72.900000000000006</v>
      </c>
      <c r="F190">
        <f t="shared" si="11"/>
        <v>0.27100000000000002</v>
      </c>
      <c r="G190" s="1">
        <f t="shared" si="12"/>
        <v>0.72900000000000009</v>
      </c>
      <c r="H190" s="1">
        <v>170</v>
      </c>
      <c r="I190" s="1">
        <f t="shared" si="13"/>
        <v>46.07</v>
      </c>
      <c r="J190" s="1">
        <f t="shared" si="14"/>
        <v>123.93000000000002</v>
      </c>
    </row>
    <row r="191" spans="1:10" x14ac:dyDescent="0.35">
      <c r="A191" t="s">
        <v>328</v>
      </c>
      <c r="B191" t="s">
        <v>44</v>
      </c>
      <c r="C191" t="s">
        <v>17</v>
      </c>
      <c r="D191">
        <v>21.4</v>
      </c>
      <c r="E191">
        <f t="shared" si="10"/>
        <v>78.599999999999994</v>
      </c>
      <c r="F191">
        <f t="shared" si="11"/>
        <v>0.214</v>
      </c>
      <c r="G191" s="1">
        <f t="shared" si="12"/>
        <v>0.78599999999999992</v>
      </c>
      <c r="H191" s="1">
        <v>11706</v>
      </c>
      <c r="I191" s="1">
        <f t="shared" si="13"/>
        <v>2505.0839999999998</v>
      </c>
      <c r="J191" s="1">
        <f t="shared" si="14"/>
        <v>9200.9159999999993</v>
      </c>
    </row>
    <row r="192" spans="1:10" x14ac:dyDescent="0.35">
      <c r="A192" t="s">
        <v>278</v>
      </c>
      <c r="B192" t="s">
        <v>14</v>
      </c>
      <c r="C192" t="s">
        <v>17</v>
      </c>
      <c r="D192">
        <v>49.8</v>
      </c>
      <c r="E192">
        <f t="shared" si="10"/>
        <v>50.2</v>
      </c>
      <c r="F192">
        <f t="shared" si="11"/>
        <v>0.498</v>
      </c>
      <c r="G192" s="1">
        <f t="shared" si="12"/>
        <v>0.502</v>
      </c>
      <c r="H192" s="1">
        <v>4</v>
      </c>
      <c r="I192" s="1">
        <f t="shared" si="13"/>
        <v>1.992</v>
      </c>
      <c r="J192" s="1">
        <f t="shared" si="14"/>
        <v>2.008</v>
      </c>
    </row>
    <row r="193" spans="1:10" x14ac:dyDescent="0.35">
      <c r="A193" t="s">
        <v>261</v>
      </c>
      <c r="B193" t="s">
        <v>10</v>
      </c>
      <c r="C193" t="s">
        <v>9</v>
      </c>
      <c r="D193">
        <v>39.5</v>
      </c>
      <c r="E193">
        <f t="shared" si="10"/>
        <v>60.5</v>
      </c>
      <c r="F193">
        <f t="shared" si="11"/>
        <v>0.39500000000000002</v>
      </c>
      <c r="G193" s="1">
        <f t="shared" si="12"/>
        <v>0.60499999999999998</v>
      </c>
      <c r="H193" s="1">
        <v>1189</v>
      </c>
      <c r="I193" s="1">
        <f t="shared" si="13"/>
        <v>469.65500000000003</v>
      </c>
      <c r="J193" s="1">
        <f t="shared" si="14"/>
        <v>719.34500000000003</v>
      </c>
    </row>
    <row r="194" spans="1:10" x14ac:dyDescent="0.35">
      <c r="A194" t="s">
        <v>176</v>
      </c>
      <c r="B194" t="s">
        <v>12</v>
      </c>
      <c r="C194" t="s">
        <v>52</v>
      </c>
      <c r="D194">
        <v>27.1</v>
      </c>
      <c r="E194">
        <f t="shared" ref="E194:E257" si="15">100-D194</f>
        <v>72.900000000000006</v>
      </c>
      <c r="F194">
        <f t="shared" ref="F194:F222" si="16">D194/100</f>
        <v>0.27100000000000002</v>
      </c>
      <c r="G194" s="1">
        <f t="shared" ref="G194:G222" si="17">E194/100</f>
        <v>0.72900000000000009</v>
      </c>
      <c r="H194" s="1">
        <v>170</v>
      </c>
      <c r="I194" s="1">
        <f t="shared" ref="I194:I222" si="18">$H194*F194</f>
        <v>46.07</v>
      </c>
      <c r="J194" s="1">
        <f t="shared" ref="J194:J222" si="19">$H194*G194</f>
        <v>123.93000000000002</v>
      </c>
    </row>
    <row r="195" spans="1:10" x14ac:dyDescent="0.35">
      <c r="A195" t="s">
        <v>177</v>
      </c>
      <c r="B195" t="s">
        <v>12</v>
      </c>
      <c r="C195" t="s">
        <v>17</v>
      </c>
      <c r="D195">
        <v>48</v>
      </c>
      <c r="E195">
        <f t="shared" si="15"/>
        <v>52</v>
      </c>
      <c r="F195">
        <f t="shared" si="16"/>
        <v>0.48</v>
      </c>
      <c r="G195" s="1">
        <f t="shared" si="17"/>
        <v>0.52</v>
      </c>
      <c r="H195" s="1">
        <v>3478</v>
      </c>
      <c r="I195" s="1">
        <f t="shared" si="18"/>
        <v>1669.4399999999998</v>
      </c>
      <c r="J195" s="1">
        <f t="shared" si="19"/>
        <v>1808.5600000000002</v>
      </c>
    </row>
    <row r="196" spans="1:10" x14ac:dyDescent="0.35">
      <c r="A196" t="s">
        <v>203</v>
      </c>
      <c r="B196" t="s">
        <v>64</v>
      </c>
      <c r="C196" t="s">
        <v>17</v>
      </c>
      <c r="D196">
        <v>26.9</v>
      </c>
      <c r="E196">
        <f t="shared" si="15"/>
        <v>73.099999999999994</v>
      </c>
      <c r="F196">
        <f t="shared" si="16"/>
        <v>0.26899999999999996</v>
      </c>
      <c r="G196" s="1">
        <f t="shared" si="17"/>
        <v>0.73099999999999998</v>
      </c>
      <c r="H196" s="1">
        <v>46</v>
      </c>
      <c r="I196" s="1">
        <f t="shared" si="18"/>
        <v>12.373999999999999</v>
      </c>
      <c r="J196" s="1">
        <f t="shared" si="19"/>
        <v>33.625999999999998</v>
      </c>
    </row>
    <row r="197" spans="1:10" x14ac:dyDescent="0.35">
      <c r="A197" t="s">
        <v>329</v>
      </c>
      <c r="B197" t="s">
        <v>44</v>
      </c>
      <c r="C197" t="s">
        <v>80</v>
      </c>
      <c r="D197">
        <v>78</v>
      </c>
      <c r="E197">
        <f t="shared" si="15"/>
        <v>22</v>
      </c>
      <c r="F197">
        <f t="shared" si="16"/>
        <v>0.78</v>
      </c>
      <c r="G197" s="1">
        <f t="shared" si="17"/>
        <v>0.22</v>
      </c>
      <c r="H197" s="5">
        <v>115</v>
      </c>
      <c r="I197" s="1">
        <f t="shared" si="18"/>
        <v>89.7</v>
      </c>
      <c r="J197" s="1">
        <f t="shared" si="19"/>
        <v>25.3</v>
      </c>
    </row>
    <row r="198" spans="1:10" x14ac:dyDescent="0.35">
      <c r="A198" t="s">
        <v>298</v>
      </c>
      <c r="B198" t="s">
        <v>24</v>
      </c>
      <c r="C198" t="s">
        <v>28</v>
      </c>
      <c r="D198">
        <v>92.1</v>
      </c>
      <c r="E198">
        <f t="shared" si="15"/>
        <v>7.9000000000000057</v>
      </c>
      <c r="F198">
        <f t="shared" si="16"/>
        <v>0.92099999999999993</v>
      </c>
      <c r="G198" s="1">
        <f t="shared" si="17"/>
        <v>7.9000000000000056E-2</v>
      </c>
      <c r="H198" s="1">
        <v>717</v>
      </c>
      <c r="I198" s="1">
        <f t="shared" si="18"/>
        <v>660.35699999999997</v>
      </c>
      <c r="J198" s="1">
        <f t="shared" si="19"/>
        <v>56.643000000000043</v>
      </c>
    </row>
    <row r="199" spans="1:10" x14ac:dyDescent="0.35">
      <c r="A199" t="s">
        <v>339</v>
      </c>
      <c r="B199" t="s">
        <v>48</v>
      </c>
      <c r="C199" t="s">
        <v>79</v>
      </c>
      <c r="D199">
        <v>72.099999999999994</v>
      </c>
      <c r="E199">
        <f t="shared" si="15"/>
        <v>27.900000000000006</v>
      </c>
      <c r="F199">
        <f t="shared" si="16"/>
        <v>0.72099999999999997</v>
      </c>
      <c r="G199" s="1">
        <f t="shared" si="17"/>
        <v>0.27900000000000008</v>
      </c>
      <c r="H199" s="3">
        <v>130</v>
      </c>
      <c r="I199" s="1">
        <f t="shared" si="18"/>
        <v>93.72999999999999</v>
      </c>
      <c r="J199" s="1">
        <f t="shared" si="19"/>
        <v>36.27000000000001</v>
      </c>
    </row>
    <row r="200" spans="1:10" x14ac:dyDescent="0.35">
      <c r="A200" t="s">
        <v>243</v>
      </c>
      <c r="B200" t="s">
        <v>46</v>
      </c>
      <c r="C200" t="s">
        <v>78</v>
      </c>
      <c r="D200">
        <v>20</v>
      </c>
      <c r="E200">
        <f t="shared" si="15"/>
        <v>80</v>
      </c>
      <c r="F200">
        <f t="shared" si="16"/>
        <v>0.2</v>
      </c>
      <c r="G200" s="1">
        <f t="shared" si="17"/>
        <v>0.8</v>
      </c>
      <c r="H200" s="1">
        <v>59</v>
      </c>
      <c r="I200" s="1">
        <f t="shared" si="18"/>
        <v>11.8</v>
      </c>
      <c r="J200" s="1">
        <f t="shared" si="19"/>
        <v>47.2</v>
      </c>
    </row>
    <row r="201" spans="1:10" x14ac:dyDescent="0.35">
      <c r="A201" t="s">
        <v>306</v>
      </c>
      <c r="B201" t="s">
        <v>22</v>
      </c>
      <c r="C201" t="s">
        <v>77</v>
      </c>
      <c r="D201">
        <v>81.400000000000006</v>
      </c>
      <c r="E201">
        <f t="shared" si="15"/>
        <v>18.599999999999994</v>
      </c>
      <c r="F201">
        <f t="shared" si="16"/>
        <v>0.81400000000000006</v>
      </c>
      <c r="G201" s="1">
        <f t="shared" si="17"/>
        <v>0.18599999999999994</v>
      </c>
      <c r="H201" s="1">
        <v>51</v>
      </c>
      <c r="I201" s="1">
        <f t="shared" si="18"/>
        <v>41.514000000000003</v>
      </c>
      <c r="J201" s="1">
        <f t="shared" si="19"/>
        <v>9.4859999999999971</v>
      </c>
    </row>
    <row r="202" spans="1:10" x14ac:dyDescent="0.35">
      <c r="A202" t="s">
        <v>216</v>
      </c>
      <c r="B202" t="s">
        <v>20</v>
      </c>
      <c r="C202" t="s">
        <v>17</v>
      </c>
      <c r="D202">
        <v>72.8</v>
      </c>
      <c r="E202">
        <f t="shared" si="15"/>
        <v>27.200000000000003</v>
      </c>
      <c r="F202">
        <f t="shared" si="16"/>
        <v>0.72799999999999998</v>
      </c>
      <c r="G202" s="1">
        <f t="shared" si="17"/>
        <v>0.27200000000000002</v>
      </c>
      <c r="H202" s="1">
        <v>9403</v>
      </c>
      <c r="I202" s="1">
        <f t="shared" si="18"/>
        <v>6845.384</v>
      </c>
      <c r="J202" s="1">
        <f t="shared" si="19"/>
        <v>2557.616</v>
      </c>
    </row>
    <row r="203" spans="1:10" x14ac:dyDescent="0.35">
      <c r="A203" t="s">
        <v>293</v>
      </c>
      <c r="B203" t="s">
        <v>40</v>
      </c>
      <c r="C203" t="s">
        <v>76</v>
      </c>
      <c r="D203">
        <v>78.900000000000006</v>
      </c>
      <c r="E203">
        <f t="shared" si="15"/>
        <v>21.099999999999994</v>
      </c>
      <c r="F203">
        <f t="shared" si="16"/>
        <v>0.78900000000000003</v>
      </c>
      <c r="G203" s="1">
        <f t="shared" si="17"/>
        <v>0.21099999999999994</v>
      </c>
      <c r="H203" s="1">
        <v>204</v>
      </c>
      <c r="I203" s="1">
        <f t="shared" si="18"/>
        <v>160.95600000000002</v>
      </c>
      <c r="J203" s="1">
        <f t="shared" si="19"/>
        <v>43.04399999999999</v>
      </c>
    </row>
    <row r="204" spans="1:10" x14ac:dyDescent="0.35">
      <c r="A204" t="s">
        <v>244</v>
      </c>
      <c r="B204" t="s">
        <v>46</v>
      </c>
      <c r="C204" t="s">
        <v>75</v>
      </c>
      <c r="D204">
        <v>83.9</v>
      </c>
      <c r="E204">
        <f t="shared" si="15"/>
        <v>16.099999999999994</v>
      </c>
      <c r="F204">
        <f t="shared" si="16"/>
        <v>0.83900000000000008</v>
      </c>
      <c r="G204" s="1">
        <f t="shared" si="17"/>
        <v>0.16099999999999995</v>
      </c>
      <c r="H204" s="1">
        <v>303</v>
      </c>
      <c r="I204" s="1">
        <f t="shared" si="18"/>
        <v>254.21700000000001</v>
      </c>
      <c r="J204" s="1">
        <f t="shared" si="19"/>
        <v>48.782999999999987</v>
      </c>
    </row>
    <row r="205" spans="1:10" x14ac:dyDescent="0.35">
      <c r="A205" t="s">
        <v>299</v>
      </c>
      <c r="B205" t="s">
        <v>24</v>
      </c>
      <c r="C205" t="s">
        <v>74</v>
      </c>
      <c r="D205">
        <v>56.7</v>
      </c>
      <c r="E205">
        <f t="shared" si="15"/>
        <v>43.3</v>
      </c>
      <c r="F205">
        <f t="shared" si="16"/>
        <v>0.56700000000000006</v>
      </c>
      <c r="G205" s="1">
        <f t="shared" si="17"/>
        <v>0.433</v>
      </c>
      <c r="H205" s="1">
        <v>257</v>
      </c>
      <c r="I205" s="1">
        <f t="shared" si="18"/>
        <v>145.71900000000002</v>
      </c>
      <c r="J205" s="1">
        <f t="shared" si="19"/>
        <v>111.28100000000001</v>
      </c>
    </row>
    <row r="206" spans="1:10" x14ac:dyDescent="0.35">
      <c r="A206" t="s">
        <v>178</v>
      </c>
      <c r="B206" t="s">
        <v>12</v>
      </c>
      <c r="C206" t="s">
        <v>73</v>
      </c>
      <c r="D206">
        <v>74.400000000000006</v>
      </c>
      <c r="E206">
        <f t="shared" si="15"/>
        <v>25.599999999999994</v>
      </c>
      <c r="F206">
        <f t="shared" si="16"/>
        <v>0.74400000000000011</v>
      </c>
      <c r="G206" s="1">
        <f t="shared" si="17"/>
        <v>0.25599999999999995</v>
      </c>
      <c r="H206" s="1">
        <v>101</v>
      </c>
      <c r="I206" s="1">
        <f t="shared" si="18"/>
        <v>75.144000000000005</v>
      </c>
      <c r="J206" s="1">
        <f t="shared" si="19"/>
        <v>25.855999999999995</v>
      </c>
    </row>
    <row r="207" spans="1:10" x14ac:dyDescent="0.35">
      <c r="A207" t="s">
        <v>330</v>
      </c>
      <c r="B207" t="s">
        <v>44</v>
      </c>
      <c r="C207" t="s">
        <v>72</v>
      </c>
      <c r="D207">
        <v>6.9</v>
      </c>
      <c r="E207">
        <f t="shared" si="15"/>
        <v>93.1</v>
      </c>
      <c r="F207">
        <f t="shared" si="16"/>
        <v>6.9000000000000006E-2</v>
      </c>
      <c r="G207" s="1">
        <f t="shared" si="17"/>
        <v>0.93099999999999994</v>
      </c>
      <c r="H207" s="1">
        <v>3551</v>
      </c>
      <c r="I207" s="1">
        <f t="shared" si="18"/>
        <v>245.01900000000003</v>
      </c>
      <c r="J207" s="1">
        <f t="shared" si="19"/>
        <v>3305.9809999999998</v>
      </c>
    </row>
    <row r="208" spans="1:10" x14ac:dyDescent="0.35">
      <c r="A208" t="s">
        <v>179</v>
      </c>
      <c r="B208" t="s">
        <v>12</v>
      </c>
      <c r="C208" t="s">
        <v>52</v>
      </c>
      <c r="D208">
        <v>27.1</v>
      </c>
      <c r="E208">
        <f t="shared" si="15"/>
        <v>72.900000000000006</v>
      </c>
      <c r="F208">
        <f t="shared" si="16"/>
        <v>0.27100000000000002</v>
      </c>
      <c r="G208" s="1">
        <f t="shared" si="17"/>
        <v>0.72900000000000009</v>
      </c>
      <c r="H208" s="1">
        <v>170</v>
      </c>
      <c r="I208" s="1">
        <f t="shared" si="18"/>
        <v>46.07</v>
      </c>
      <c r="J208" s="1">
        <f t="shared" si="19"/>
        <v>123.93000000000002</v>
      </c>
    </row>
    <row r="209" spans="1:10" x14ac:dyDescent="0.35">
      <c r="A209" t="s">
        <v>217</v>
      </c>
      <c r="B209" t="s">
        <v>20</v>
      </c>
      <c r="C209" t="s">
        <v>71</v>
      </c>
      <c r="D209">
        <v>70.400000000000006</v>
      </c>
      <c r="E209">
        <f t="shared" si="15"/>
        <v>29.599999999999994</v>
      </c>
      <c r="F209">
        <f t="shared" si="16"/>
        <v>0.70400000000000007</v>
      </c>
      <c r="G209" s="1">
        <f t="shared" si="17"/>
        <v>0.29599999999999993</v>
      </c>
      <c r="H209" s="1">
        <v>141</v>
      </c>
      <c r="I209" s="1">
        <f t="shared" si="18"/>
        <v>99.26400000000001</v>
      </c>
      <c r="J209" s="1">
        <f t="shared" si="19"/>
        <v>41.73599999999999</v>
      </c>
    </row>
    <row r="210" spans="1:10" x14ac:dyDescent="0.35">
      <c r="A210" t="s">
        <v>195</v>
      </c>
      <c r="B210" t="s">
        <v>4</v>
      </c>
      <c r="C210" t="s">
        <v>70</v>
      </c>
      <c r="D210">
        <v>55.2</v>
      </c>
      <c r="E210">
        <f t="shared" si="15"/>
        <v>44.8</v>
      </c>
      <c r="F210">
        <f t="shared" si="16"/>
        <v>0.55200000000000005</v>
      </c>
      <c r="G210" s="1">
        <f t="shared" si="17"/>
        <v>0.44799999999999995</v>
      </c>
      <c r="H210" s="1">
        <v>362</v>
      </c>
      <c r="I210" s="1">
        <f t="shared" si="18"/>
        <v>199.82400000000001</v>
      </c>
      <c r="J210" s="1">
        <f t="shared" si="19"/>
        <v>162.17599999999999</v>
      </c>
    </row>
    <row r="211" spans="1:10" ht="15" thickBot="1" x14ac:dyDescent="0.4">
      <c r="A211" t="s">
        <v>322</v>
      </c>
      <c r="B211" t="s">
        <v>51</v>
      </c>
      <c r="C211" t="s">
        <v>69</v>
      </c>
      <c r="D211">
        <v>56.1</v>
      </c>
      <c r="E211">
        <f t="shared" si="15"/>
        <v>43.9</v>
      </c>
      <c r="F211">
        <f t="shared" si="16"/>
        <v>0.56100000000000005</v>
      </c>
      <c r="G211" s="1">
        <f t="shared" si="17"/>
        <v>0.439</v>
      </c>
      <c r="H211" s="1">
        <v>339</v>
      </c>
      <c r="I211" s="1">
        <f t="shared" si="18"/>
        <v>190.17900000000003</v>
      </c>
      <c r="J211" s="1">
        <f t="shared" si="19"/>
        <v>148.821</v>
      </c>
    </row>
    <row r="212" spans="1:10" ht="15" thickBot="1" x14ac:dyDescent="0.4">
      <c r="A212" t="s">
        <v>245</v>
      </c>
      <c r="B212" t="s">
        <v>46</v>
      </c>
      <c r="C212" t="s">
        <v>68</v>
      </c>
      <c r="D212">
        <v>69.099999999999994</v>
      </c>
      <c r="E212">
        <f t="shared" si="15"/>
        <v>30.900000000000006</v>
      </c>
      <c r="F212">
        <f t="shared" si="16"/>
        <v>0.69099999999999995</v>
      </c>
      <c r="G212" s="1">
        <f t="shared" si="17"/>
        <v>0.30900000000000005</v>
      </c>
      <c r="H212" s="4">
        <v>87</v>
      </c>
      <c r="I212" s="1">
        <f t="shared" si="18"/>
        <v>60.116999999999997</v>
      </c>
      <c r="J212" s="1">
        <f t="shared" si="19"/>
        <v>26.883000000000006</v>
      </c>
    </row>
    <row r="213" spans="1:10" x14ac:dyDescent="0.35">
      <c r="A213" t="s">
        <v>180</v>
      </c>
      <c r="B213" t="s">
        <v>12</v>
      </c>
      <c r="C213" t="s">
        <v>38</v>
      </c>
      <c r="D213">
        <v>18.8</v>
      </c>
      <c r="E213">
        <f t="shared" si="15"/>
        <v>81.2</v>
      </c>
      <c r="F213">
        <f t="shared" si="16"/>
        <v>0.188</v>
      </c>
      <c r="G213" s="1">
        <f t="shared" si="17"/>
        <v>0.81200000000000006</v>
      </c>
      <c r="H213" s="1">
        <v>148</v>
      </c>
      <c r="I213" s="1">
        <f t="shared" si="18"/>
        <v>27.824000000000002</v>
      </c>
      <c r="J213" s="1">
        <f t="shared" si="19"/>
        <v>120.176</v>
      </c>
    </row>
    <row r="214" spans="1:10" x14ac:dyDescent="0.35">
      <c r="A214" t="s">
        <v>181</v>
      </c>
      <c r="B214" t="s">
        <v>12</v>
      </c>
      <c r="C214" t="s">
        <v>52</v>
      </c>
      <c r="D214">
        <v>27.1</v>
      </c>
      <c r="E214">
        <f t="shared" si="15"/>
        <v>72.900000000000006</v>
      </c>
      <c r="F214">
        <f t="shared" si="16"/>
        <v>0.27100000000000002</v>
      </c>
      <c r="G214" s="1">
        <f t="shared" si="17"/>
        <v>0.72900000000000009</v>
      </c>
      <c r="H214" s="1">
        <v>170</v>
      </c>
      <c r="I214" s="1">
        <f t="shared" si="18"/>
        <v>46.07</v>
      </c>
      <c r="J214" s="1">
        <f t="shared" si="19"/>
        <v>123.93000000000002</v>
      </c>
    </row>
    <row r="215" spans="1:10" x14ac:dyDescent="0.35">
      <c r="A215" t="s">
        <v>182</v>
      </c>
      <c r="B215" t="s">
        <v>12</v>
      </c>
      <c r="C215" t="s">
        <v>52</v>
      </c>
      <c r="D215">
        <v>27.1</v>
      </c>
      <c r="E215">
        <f t="shared" si="15"/>
        <v>72.900000000000006</v>
      </c>
      <c r="F215">
        <f t="shared" si="16"/>
        <v>0.27100000000000002</v>
      </c>
      <c r="G215" s="1">
        <f t="shared" si="17"/>
        <v>0.72900000000000009</v>
      </c>
      <c r="H215" s="1">
        <v>170</v>
      </c>
      <c r="I215" s="1">
        <f t="shared" si="18"/>
        <v>46.07</v>
      </c>
      <c r="J215" s="1">
        <f t="shared" si="19"/>
        <v>123.93000000000002</v>
      </c>
    </row>
    <row r="216" spans="1:10" x14ac:dyDescent="0.35">
      <c r="A216" t="s">
        <v>225</v>
      </c>
      <c r="B216" t="s">
        <v>26</v>
      </c>
      <c r="C216" t="s">
        <v>66</v>
      </c>
      <c r="D216">
        <v>68.8</v>
      </c>
      <c r="E216">
        <f t="shared" si="15"/>
        <v>31.200000000000003</v>
      </c>
      <c r="F216">
        <f t="shared" si="16"/>
        <v>0.68799999999999994</v>
      </c>
      <c r="G216" s="1">
        <f t="shared" si="17"/>
        <v>0.31200000000000006</v>
      </c>
      <c r="H216" s="1">
        <v>1805</v>
      </c>
      <c r="I216" s="1">
        <f t="shared" si="18"/>
        <v>1241.8399999999999</v>
      </c>
      <c r="J216" s="1">
        <f t="shared" si="19"/>
        <v>563.16000000000008</v>
      </c>
    </row>
    <row r="217" spans="1:10" x14ac:dyDescent="0.35">
      <c r="A217" t="s">
        <v>341</v>
      </c>
      <c r="B217" t="s">
        <v>40</v>
      </c>
      <c r="C217" t="s">
        <v>67</v>
      </c>
      <c r="D217">
        <v>36.799999999999997</v>
      </c>
      <c r="E217">
        <f t="shared" si="15"/>
        <v>63.2</v>
      </c>
      <c r="F217">
        <f t="shared" si="16"/>
        <v>0.36799999999999999</v>
      </c>
      <c r="G217" s="1">
        <f t="shared" si="17"/>
        <v>0.63200000000000001</v>
      </c>
      <c r="H217" s="1">
        <v>621</v>
      </c>
      <c r="I217" s="1">
        <f t="shared" si="18"/>
        <v>228.52799999999999</v>
      </c>
      <c r="J217" s="1">
        <f t="shared" si="19"/>
        <v>392.47199999999998</v>
      </c>
    </row>
    <row r="218" spans="1:10" x14ac:dyDescent="0.35">
      <c r="A218" t="s">
        <v>307</v>
      </c>
      <c r="B218" t="s">
        <v>22</v>
      </c>
      <c r="C218" t="s">
        <v>65</v>
      </c>
      <c r="D218">
        <v>5.8</v>
      </c>
      <c r="E218">
        <f t="shared" si="15"/>
        <v>94.2</v>
      </c>
      <c r="F218">
        <f t="shared" si="16"/>
        <v>5.7999999999999996E-2</v>
      </c>
      <c r="G218" s="1">
        <f t="shared" si="17"/>
        <v>0.94200000000000006</v>
      </c>
      <c r="H218" s="1">
        <v>559</v>
      </c>
      <c r="I218" s="1">
        <f t="shared" si="18"/>
        <v>32.421999999999997</v>
      </c>
      <c r="J218" s="1">
        <f t="shared" si="19"/>
        <v>526.57800000000009</v>
      </c>
    </row>
    <row r="219" spans="1:10" x14ac:dyDescent="0.35">
      <c r="A219" t="s">
        <v>183</v>
      </c>
      <c r="B219" t="s">
        <v>12</v>
      </c>
      <c r="C219" t="s">
        <v>17</v>
      </c>
      <c r="D219">
        <v>48</v>
      </c>
      <c r="E219">
        <f t="shared" si="15"/>
        <v>52</v>
      </c>
      <c r="F219">
        <f t="shared" si="16"/>
        <v>0.48</v>
      </c>
      <c r="G219" s="1">
        <f t="shared" si="17"/>
        <v>0.52</v>
      </c>
      <c r="H219" s="1">
        <v>3478</v>
      </c>
      <c r="I219" s="1">
        <f t="shared" si="18"/>
        <v>1669.4399999999998</v>
      </c>
      <c r="J219" s="1">
        <f t="shared" si="19"/>
        <v>1808.5600000000002</v>
      </c>
    </row>
    <row r="220" spans="1:10" ht="15" thickBot="1" x14ac:dyDescent="0.4">
      <c r="A220" t="s">
        <v>184</v>
      </c>
      <c r="B220" t="s">
        <v>12</v>
      </c>
      <c r="C220" t="s">
        <v>18</v>
      </c>
      <c r="D220">
        <v>53.8</v>
      </c>
      <c r="E220">
        <f t="shared" si="15"/>
        <v>46.2</v>
      </c>
      <c r="F220">
        <f t="shared" si="16"/>
        <v>0.53799999999999992</v>
      </c>
      <c r="G220" s="1">
        <f t="shared" si="17"/>
        <v>0.46200000000000002</v>
      </c>
      <c r="H220" s="1">
        <v>271</v>
      </c>
      <c r="I220" s="1">
        <f t="shared" si="18"/>
        <v>145.79799999999997</v>
      </c>
      <c r="J220" s="1">
        <f t="shared" si="19"/>
        <v>125.20200000000001</v>
      </c>
    </row>
    <row r="221" spans="1:10" ht="15" thickBot="1" x14ac:dyDescent="0.4">
      <c r="A221" t="s">
        <v>185</v>
      </c>
      <c r="B221" t="s">
        <v>12</v>
      </c>
      <c r="C221" t="s">
        <v>17</v>
      </c>
      <c r="D221">
        <v>48</v>
      </c>
      <c r="E221">
        <f t="shared" si="15"/>
        <v>52</v>
      </c>
      <c r="F221">
        <f t="shared" si="16"/>
        <v>0.48</v>
      </c>
      <c r="G221" s="1">
        <f t="shared" si="17"/>
        <v>0.52</v>
      </c>
      <c r="H221" s="4">
        <v>3478</v>
      </c>
      <c r="I221" s="1">
        <f t="shared" si="18"/>
        <v>1669.4399999999998</v>
      </c>
      <c r="J221" s="1">
        <f t="shared" si="19"/>
        <v>1808.5600000000002</v>
      </c>
    </row>
    <row r="222" spans="1:10" x14ac:dyDescent="0.35">
      <c r="A222" t="s">
        <v>279</v>
      </c>
      <c r="B222" t="s">
        <v>14</v>
      </c>
      <c r="C222" t="s">
        <v>29</v>
      </c>
      <c r="D222">
        <v>55</v>
      </c>
      <c r="E222">
        <f t="shared" si="15"/>
        <v>45</v>
      </c>
      <c r="F222">
        <f t="shared" si="16"/>
        <v>0.55000000000000004</v>
      </c>
      <c r="G222" s="1">
        <f t="shared" si="17"/>
        <v>0.45</v>
      </c>
      <c r="H222" s="1">
        <v>118</v>
      </c>
      <c r="I222" s="1">
        <f t="shared" si="18"/>
        <v>64.900000000000006</v>
      </c>
      <c r="J222" s="1">
        <f t="shared" si="19"/>
        <v>53.1</v>
      </c>
    </row>
  </sheetData>
  <autoFilter ref="A1:J1" xr:uid="{83801DA1-FE9C-43B8-823D-AC735094C62A}">
    <sortState xmlns:xlrd2="http://schemas.microsoft.com/office/spreadsheetml/2017/richdata2" ref="A2:J222">
      <sortCondition ref="A1"/>
    </sortState>
  </autoFilter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Thaler, Marion</dc:creator>
  <cp:lastModifiedBy>Thaler, Marion</cp:lastModifiedBy>
  <dcterms:created xsi:type="dcterms:W3CDTF">2024-05-23T10:01:00Z</dcterms:created>
  <dcterms:modified xsi:type="dcterms:W3CDTF">2024-06-03T10:14:36Z</dcterms:modified>
</cp:coreProperties>
</file>